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سدرة الخير\Hub Project Data\"/>
    </mc:Choice>
  </mc:AlternateContent>
  <xr:revisionPtr revIDLastSave="0" documentId="13_ncr:1_{10929D9F-1A2D-4A79-9ECB-0F225F779C31}" xr6:coauthVersionLast="47" xr6:coauthVersionMax="47" xr10:uidLastSave="{00000000-0000-0000-0000-000000000000}"/>
  <bookViews>
    <workbookView xWindow="-108" yWindow="-108" windowWidth="23256" windowHeight="13896" xr2:uid="{D8720DA4-03DD-471F-8DC0-E7471CF9924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" l="1"/>
  <c r="I19" i="3" s="1"/>
  <c r="I20" i="3" s="1"/>
  <c r="H13" i="3"/>
  <c r="H19" i="3" s="1"/>
  <c r="H20" i="3" s="1"/>
  <c r="E13" i="3"/>
  <c r="E19" i="3" s="1"/>
  <c r="E20" i="3" s="1"/>
  <c r="D13" i="3"/>
  <c r="D19" i="3" s="1"/>
  <c r="D20" i="3" s="1"/>
  <c r="L22" i="3"/>
  <c r="L18" i="3"/>
  <c r="L16" i="3"/>
  <c r="L15" i="3"/>
  <c r="L14" i="3"/>
  <c r="L10" i="3"/>
  <c r="L8" i="3"/>
  <c r="L6" i="3"/>
  <c r="L5" i="3"/>
  <c r="C7" i="3"/>
  <c r="D7" i="3"/>
  <c r="E7" i="3"/>
  <c r="F7" i="3"/>
  <c r="G7" i="3"/>
  <c r="H7" i="3"/>
  <c r="I7" i="3"/>
  <c r="J7" i="3"/>
  <c r="K7" i="3"/>
  <c r="B7" i="3"/>
  <c r="F13" i="3"/>
  <c r="F19" i="3" s="1"/>
  <c r="F20" i="3" s="1"/>
  <c r="G13" i="3"/>
  <c r="G19" i="3" s="1"/>
  <c r="G20" i="3" s="1"/>
  <c r="J13" i="3"/>
  <c r="J19" i="3" s="1"/>
  <c r="J20" i="3" s="1"/>
  <c r="K13" i="3"/>
  <c r="K19" i="3" s="1"/>
  <c r="K20" i="3" s="1"/>
  <c r="B13" i="3"/>
  <c r="B19" i="3" s="1"/>
  <c r="B20" i="3" s="1"/>
  <c r="L17" i="3" l="1"/>
  <c r="C13" i="3"/>
  <c r="C19" i="3" s="1"/>
  <c r="C20" i="3" s="1"/>
  <c r="L7" i="3"/>
  <c r="K23" i="3"/>
  <c r="K24" i="3" s="1"/>
  <c r="J23" i="3"/>
  <c r="J24" i="3" s="1"/>
  <c r="I23" i="3"/>
  <c r="I24" i="3" s="1"/>
  <c r="H23" i="3"/>
  <c r="H24" i="3" s="1"/>
  <c r="E23" i="3"/>
  <c r="E24" i="3" s="1"/>
  <c r="G23" i="3"/>
  <c r="G24" i="3" s="1"/>
  <c r="D23" i="3"/>
  <c r="D24" i="3" s="1"/>
  <c r="F23" i="3"/>
  <c r="F24" i="3" s="1"/>
  <c r="B23" i="3"/>
  <c r="B24" i="3" s="1"/>
  <c r="L19" i="3" l="1"/>
  <c r="L20" i="3" s="1"/>
  <c r="C23" i="3"/>
  <c r="C24" i="3" s="1"/>
  <c r="L13" i="3"/>
  <c r="L23" i="3" l="1"/>
  <c r="L24" i="3" s="1"/>
</calcChain>
</file>

<file path=xl/sharedStrings.xml><?xml version="1.0" encoding="utf-8"?>
<sst xmlns="http://schemas.openxmlformats.org/spreadsheetml/2006/main" count="28" uniqueCount="28">
  <si>
    <t>ايجار الملقا</t>
  </si>
  <si>
    <t>ايجار النرجس</t>
  </si>
  <si>
    <t>ايجار المرسلات</t>
  </si>
  <si>
    <t>ايجار النزهة</t>
  </si>
  <si>
    <t>ايجار الياسمين</t>
  </si>
  <si>
    <t>ايجار الدرعية</t>
  </si>
  <si>
    <t>ايجار السويدى</t>
  </si>
  <si>
    <t>ايجار العارض</t>
  </si>
  <si>
    <t>فيلا الندي</t>
  </si>
  <si>
    <t>فيلا النزهة</t>
  </si>
  <si>
    <t>TOTAL</t>
  </si>
  <si>
    <t>Total Units</t>
  </si>
  <si>
    <t>Occupied units</t>
  </si>
  <si>
    <t>Occupancy Rate</t>
  </si>
  <si>
    <t>Net Revenue</t>
  </si>
  <si>
    <t>Total OPEX</t>
  </si>
  <si>
    <t>Project Rent</t>
  </si>
  <si>
    <t>Maintenance &amp; Repairs</t>
  </si>
  <si>
    <t>Marketing</t>
  </si>
  <si>
    <t>Staff Salaries</t>
  </si>
  <si>
    <t>Operating Income</t>
  </si>
  <si>
    <t>Net Profit</t>
  </si>
  <si>
    <t>2. OPERATING EXPENSES</t>
  </si>
  <si>
    <t>Improvements Assets</t>
  </si>
  <si>
    <t>Utilities</t>
  </si>
  <si>
    <t>Amortization</t>
  </si>
  <si>
    <t>Operating Income Margin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</si>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</sst>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_);_(* \(#,##0.00\);_(*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 tint="0.499984740745262"/>
      <name val="Calibri"/>
      <family val="2"/>
      <charset val="1"/>
    </font>
    <font>
      <i/>
      <sz val="11"/>
      <color theme="1" tint="0.499984740745262"/>
      <name val="Calibri"/>
      <family val="2"/>
      <charset val="1"/>
    </font>
    <font>
      <i/>
      <sz val="11"/>
      <color theme="0"/>
      <name val="Calibri"/>
      <family val="2"/>
      <charset val="1"/>
    </font>
    <font>
      <b/>
      <sz val="12"/>
      <color rgb="FF1F4E78"/>
      <name val="Calibri"/>
      <family val="2"/>
      <charset val="1"/>
    </font>
    <font>
      <b/>
      <i/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89013336588644"/>
        <bgColor rgb="FFD9EAF7"/>
      </patternFill>
    </fill>
    <fill>
      <patternFill patternType="solid">
        <fgColor theme="8" tint="-0.249977111117893"/>
        <bgColor rgb="FFD9EAF7"/>
      </patternFill>
    </fill>
    <fill>
      <patternFill patternType="solid">
        <fgColor rgb="FFF2F2F2"/>
        <bgColor rgb="FFF3F6F9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E1F2"/>
      </right>
      <top style="thin">
        <color rgb="FFD9D9D9"/>
      </top>
      <bottom style="thin">
        <color rgb="FFD9D9D9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0" fontId="5" fillId="0" borderId="0" xfId="0" applyFont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9" fontId="3" fillId="4" borderId="7" xfId="2" applyFont="1" applyFill="1" applyBorder="1"/>
    <xf numFmtId="164" fontId="2" fillId="3" borderId="9" xfId="2" applyNumberFormat="1" applyFont="1" applyFill="1" applyBorder="1"/>
    <xf numFmtId="165" fontId="3" fillId="4" borderId="10" xfId="1" applyNumberFormat="1" applyFont="1" applyFill="1" applyBorder="1"/>
    <xf numFmtId="165" fontId="3" fillId="4" borderId="11" xfId="1" applyNumberFormat="1" applyFont="1" applyFill="1" applyBorder="1"/>
    <xf numFmtId="0" fontId="6" fillId="5" borderId="12" xfId="0" applyFont="1" applyFill="1" applyBorder="1"/>
    <xf numFmtId="165" fontId="6" fillId="5" borderId="12" xfId="1" applyNumberFormat="1" applyFont="1" applyFill="1" applyBorder="1" applyAlignment="1">
      <alignment horizontal="right" vertical="center"/>
    </xf>
    <xf numFmtId="165" fontId="7" fillId="6" borderId="13" xfId="1" applyNumberFormat="1" applyFont="1" applyFill="1" applyBorder="1" applyAlignment="1">
      <alignment horizontal="right" vertical="center"/>
    </xf>
    <xf numFmtId="0" fontId="6" fillId="0" borderId="12" xfId="0" applyFont="1" applyBorder="1"/>
    <xf numFmtId="165" fontId="6" fillId="0" borderId="12" xfId="1" applyNumberFormat="1" applyFont="1" applyBorder="1" applyAlignment="1">
      <alignment horizontal="right" vertical="center"/>
    </xf>
    <xf numFmtId="165" fontId="7" fillId="3" borderId="13" xfId="1" applyNumberFormat="1" applyFont="1" applyFill="1" applyBorder="1" applyAlignment="1">
      <alignment horizontal="right" vertical="center"/>
    </xf>
    <xf numFmtId="0" fontId="8" fillId="0" borderId="12" xfId="0" applyFont="1" applyBorder="1"/>
    <xf numFmtId="165" fontId="8" fillId="0" borderId="12" xfId="1" applyNumberFormat="1" applyFont="1" applyBorder="1" applyAlignment="1">
      <alignment horizontal="right" vertical="center"/>
    </xf>
    <xf numFmtId="165" fontId="9" fillId="3" borderId="13" xfId="1" applyNumberFormat="1" applyFont="1" applyFill="1" applyBorder="1" applyAlignment="1">
      <alignment horizontal="right" vertical="center"/>
    </xf>
    <xf numFmtId="0" fontId="10" fillId="0" borderId="12" xfId="0" applyFont="1" applyBorder="1"/>
    <xf numFmtId="164" fontId="11" fillId="0" borderId="12" xfId="0" applyNumberFormat="1" applyFont="1" applyBorder="1" applyAlignment="1">
      <alignment horizontal="right" vertical="center"/>
    </xf>
    <xf numFmtId="164" fontId="12" fillId="3" borderId="13" xfId="0" applyNumberFormat="1" applyFont="1" applyFill="1" applyBorder="1" applyAlignment="1">
      <alignment horizontal="right" vertical="center"/>
    </xf>
    <xf numFmtId="0" fontId="2" fillId="3" borderId="6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2" fillId="3" borderId="14" xfId="1" applyNumberFormat="1" applyFont="1" applyFill="1" applyBorder="1"/>
    <xf numFmtId="0" fontId="0" fillId="0" borderId="12" xfId="0" applyBorder="1"/>
    <xf numFmtId="166" fontId="0" fillId="0" borderId="0" xfId="0" applyNumberFormat="1"/>
    <xf numFmtId="0" fontId="0" fillId="0" borderId="15" xfId="0" applyBorder="1"/>
    <xf numFmtId="0" fontId="13" fillId="7" borderId="12" xfId="0" applyFont="1" applyFill="1" applyBorder="1" applyAlignment="1">
      <alignment vertical="center"/>
    </xf>
    <xf numFmtId="0" fontId="0" fillId="8" borderId="16" xfId="0" applyFill="1" applyBorder="1"/>
    <xf numFmtId="0" fontId="0" fillId="8" borderId="17" xfId="0" applyFill="1" applyBorder="1"/>
    <xf numFmtId="165" fontId="0" fillId="0" borderId="0" xfId="0" applyNumberFormat="1"/>
    <xf numFmtId="164" fontId="14" fillId="3" borderId="13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49" fontId="16" fillId="2" borderId="1" xfId="3" applyNumberFormat="1" applyFont="1" applyFill="1" applyBorder="1" applyAlignment="1">
      <alignment horizontal="center" vertical="center"/>
    </xf>
    <xf numFmtId="49" fontId="16" fillId="2" borderId="2" xfId="3" applyNumberFormat="1" applyFont="1" applyFill="1" applyBorder="1" applyAlignment="1">
      <alignment horizontal="center" vertical="center"/>
    </xf>
    <xf numFmtId="49" fontId="16" fillId="3" borderId="3" xfId="3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3" xfId="3" xr:uid="{BCDE9B6F-D371-4E11-8F30-4B0D6DE6CDCA}"/>
    <cellStyle name="Percent" xfId="2" builtinId="5"/>
  </cellStyles>
  <dxfs count="1">
    <dxf>
      <fill>
        <patternFill>
          <bgColor rgb="FFDF5D29"/>
        </patternFill>
      </fill>
    </dxf>
  </dxfs>
  <tableStyles count="0" defaultTableStyle="TableStyleMedium2" defaultPivotStyle="PivotStyleLight16"/>
  <colors>
    <mruColors>
      <color rgb="FFDF5D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827E-0A0D-4D4A-AB03-08EDFCA19B8F}">
  <dimension ref="A3:N34"/>
  <sheetViews>
    <sheetView showGridLines="0" tabSelected="1" workbookViewId="0">
      <selection activeCell="J11" sqref="J11"/>
    </sheetView>
  </sheetViews>
  <sheetFormatPr defaultRowHeight="14.4" x14ac:dyDescent="0.3"/>
  <cols>
    <col min="1" max="1" width="36.44140625" customWidth="1"/>
    <col min="2" max="11" width="12.77734375" customWidth="1"/>
    <col min="12" max="12" width="15.33203125" customWidth="1"/>
    <col min="14" max="14" width="10" bestFit="1" customWidth="1"/>
  </cols>
  <sheetData>
    <row r="3" spans="1:12" s="35" customFormat="1" ht="21" customHeight="1" x14ac:dyDescent="0.3">
      <c r="B3" s="36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7" t="s">
        <v>5</v>
      </c>
      <c r="H3" s="37" t="s">
        <v>6</v>
      </c>
      <c r="I3" s="37" t="s">
        <v>7</v>
      </c>
      <c r="J3" s="37" t="s">
        <v>8</v>
      </c>
      <c r="K3" s="37" t="s">
        <v>9</v>
      </c>
      <c r="L3" s="38" t="s">
        <v>10</v>
      </c>
    </row>
    <row r="4" spans="1:12" x14ac:dyDescent="0.3">
      <c r="B4" s="23"/>
      <c r="C4" s="24"/>
      <c r="D4" s="24"/>
      <c r="E4" s="24"/>
      <c r="F4" s="24"/>
      <c r="G4" s="24"/>
      <c r="H4" s="24"/>
      <c r="I4" s="24"/>
      <c r="J4" s="24"/>
      <c r="K4" s="24"/>
      <c r="L4" s="25"/>
    </row>
    <row r="5" spans="1:12" ht="19.8" customHeight="1" x14ac:dyDescent="0.3">
      <c r="A5" s="1" t="s">
        <v>11</v>
      </c>
      <c r="B5" s="2">
        <v>13</v>
      </c>
      <c r="C5" s="3">
        <v>28</v>
      </c>
      <c r="D5" s="3">
        <v>41</v>
      </c>
      <c r="E5" s="3">
        <v>18</v>
      </c>
      <c r="F5" s="3">
        <v>31</v>
      </c>
      <c r="G5" s="3">
        <v>48</v>
      </c>
      <c r="H5" s="3">
        <v>9</v>
      </c>
      <c r="I5" s="3">
        <v>51</v>
      </c>
      <c r="J5" s="3">
        <v>10</v>
      </c>
      <c r="K5" s="3">
        <v>14</v>
      </c>
      <c r="L5" s="22">
        <f>SUM(B5:K5)</f>
        <v>263</v>
      </c>
    </row>
    <row r="6" spans="1:12" ht="19.8" customHeight="1" x14ac:dyDescent="0.3">
      <c r="A6" s="1" t="s">
        <v>12</v>
      </c>
      <c r="B6" s="4">
        <v>8</v>
      </c>
      <c r="C6" s="5">
        <v>22</v>
      </c>
      <c r="D6" s="5">
        <v>34</v>
      </c>
      <c r="E6" s="5">
        <v>18</v>
      </c>
      <c r="F6" s="5">
        <v>30</v>
      </c>
      <c r="G6" s="5">
        <v>48</v>
      </c>
      <c r="H6" s="5">
        <v>7</v>
      </c>
      <c r="I6" s="5">
        <v>51</v>
      </c>
      <c r="J6" s="5">
        <v>9</v>
      </c>
      <c r="K6" s="5">
        <v>14</v>
      </c>
      <c r="L6" s="22">
        <f>SUM(B6:K6)</f>
        <v>241</v>
      </c>
    </row>
    <row r="7" spans="1:12" ht="19.8" customHeight="1" x14ac:dyDescent="0.3">
      <c r="A7" s="1" t="s">
        <v>13</v>
      </c>
      <c r="B7" s="6">
        <f>B6/B5</f>
        <v>0.61538461538461542</v>
      </c>
      <c r="C7" s="6">
        <f t="shared" ref="C7:K7" si="0">C6/C5</f>
        <v>0.7857142857142857</v>
      </c>
      <c r="D7" s="6">
        <f t="shared" si="0"/>
        <v>0.82926829268292679</v>
      </c>
      <c r="E7" s="6">
        <f t="shared" si="0"/>
        <v>1</v>
      </c>
      <c r="F7" s="6">
        <f t="shared" si="0"/>
        <v>0.967741935483871</v>
      </c>
      <c r="G7" s="6">
        <f t="shared" si="0"/>
        <v>1</v>
      </c>
      <c r="H7" s="6">
        <f t="shared" si="0"/>
        <v>0.77777777777777779</v>
      </c>
      <c r="I7" s="6">
        <f t="shared" si="0"/>
        <v>1</v>
      </c>
      <c r="J7" s="6">
        <f t="shared" si="0"/>
        <v>0.9</v>
      </c>
      <c r="K7" s="6">
        <f t="shared" si="0"/>
        <v>1</v>
      </c>
      <c r="L7" s="7">
        <f>L6/L5</f>
        <v>0.91634980988593151</v>
      </c>
    </row>
    <row r="8" spans="1:12" ht="19.8" customHeight="1" x14ac:dyDescent="0.3">
      <c r="A8" s="1" t="s">
        <v>23</v>
      </c>
      <c r="B8" s="8">
        <v>263984.25</v>
      </c>
      <c r="C8" s="9">
        <v>1053228.27</v>
      </c>
      <c r="D8" s="9">
        <v>563328.69999999995</v>
      </c>
      <c r="E8" s="9">
        <v>876392.56</v>
      </c>
      <c r="F8" s="9">
        <v>300146.36</v>
      </c>
      <c r="G8" s="9"/>
      <c r="H8" s="9">
        <v>220379.96</v>
      </c>
      <c r="I8" s="9">
        <v>716213.33000000007</v>
      </c>
      <c r="J8" s="9">
        <v>335924.65</v>
      </c>
      <c r="K8" s="9">
        <v>654450.31999999995</v>
      </c>
      <c r="L8" s="26">
        <f>SUM(B8:K8)</f>
        <v>4984048.4000000004</v>
      </c>
    </row>
    <row r="10" spans="1:12" ht="18.600000000000001" customHeight="1" x14ac:dyDescent="0.3">
      <c r="A10" s="10" t="s">
        <v>14</v>
      </c>
      <c r="B10" s="11">
        <v>219918</v>
      </c>
      <c r="C10" s="11">
        <v>316336</v>
      </c>
      <c r="D10" s="11">
        <v>682419</v>
      </c>
      <c r="E10" s="11">
        <v>268317</v>
      </c>
      <c r="F10" s="11">
        <v>652420</v>
      </c>
      <c r="G10" s="11">
        <v>809020</v>
      </c>
      <c r="H10" s="11">
        <v>220924</v>
      </c>
      <c r="I10" s="11">
        <v>1374819</v>
      </c>
      <c r="J10" s="11">
        <v>155000</v>
      </c>
      <c r="K10" s="11">
        <v>124000</v>
      </c>
      <c r="L10" s="12">
        <f>SUM(B10:K10)</f>
        <v>4823173</v>
      </c>
    </row>
    <row r="11" spans="1:12" ht="18.600000000000001" customHeight="1" x14ac:dyDescent="0.3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t="18.600000000000001" customHeight="1" x14ac:dyDescent="0.3">
      <c r="A12" s="30" t="s">
        <v>22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ht="18.600000000000001" customHeight="1" x14ac:dyDescent="0.3">
      <c r="A13" s="13" t="s">
        <v>15</v>
      </c>
      <c r="B13" s="14">
        <f>SUM(B14:B18)</f>
        <v>290941.11999999994</v>
      </c>
      <c r="C13" s="14">
        <f t="shared" ref="C13:K13" si="1">SUM(C14:C18)</f>
        <v>459887.02</v>
      </c>
      <c r="D13" s="14">
        <f t="shared" si="1"/>
        <v>692165.86</v>
      </c>
      <c r="E13" s="14">
        <f t="shared" si="1"/>
        <v>230778.64</v>
      </c>
      <c r="F13" s="14">
        <f t="shared" si="1"/>
        <v>247323.13</v>
      </c>
      <c r="G13" s="14">
        <f t="shared" si="1"/>
        <v>565242.03</v>
      </c>
      <c r="H13" s="14">
        <f t="shared" si="1"/>
        <v>128822.27</v>
      </c>
      <c r="I13" s="14">
        <f t="shared" si="1"/>
        <v>752242.98</v>
      </c>
      <c r="J13" s="14">
        <f t="shared" si="1"/>
        <v>24756.3</v>
      </c>
      <c r="K13" s="14">
        <f t="shared" si="1"/>
        <v>45058.61</v>
      </c>
      <c r="L13" s="15">
        <f>SUM(B13:K13)</f>
        <v>3437217.9599999995</v>
      </c>
    </row>
    <row r="14" spans="1:12" ht="18.600000000000001" customHeight="1" x14ac:dyDescent="0.3">
      <c r="A14" s="16" t="s">
        <v>16</v>
      </c>
      <c r="B14" s="17">
        <v>231087.71</v>
      </c>
      <c r="C14" s="17">
        <v>411748.63</v>
      </c>
      <c r="D14" s="17">
        <v>561834.06000000006</v>
      </c>
      <c r="E14" s="17">
        <v>200000</v>
      </c>
      <c r="F14" s="17">
        <v>198907.1</v>
      </c>
      <c r="G14" s="17">
        <v>466032.61</v>
      </c>
      <c r="H14" s="17">
        <v>79347.83</v>
      </c>
      <c r="I14" s="17">
        <v>631267.80000000005</v>
      </c>
      <c r="J14" s="17">
        <v>24262.3</v>
      </c>
      <c r="K14" s="17">
        <v>40983.61</v>
      </c>
      <c r="L14" s="18">
        <f>SUM(B14:K14)</f>
        <v>2845471.65</v>
      </c>
    </row>
    <row r="15" spans="1:12" ht="18.600000000000001" customHeight="1" x14ac:dyDescent="0.3">
      <c r="A15" s="16" t="s">
        <v>17</v>
      </c>
      <c r="B15" s="17">
        <v>31965</v>
      </c>
      <c r="C15" s="17">
        <v>4684</v>
      </c>
      <c r="D15" s="17">
        <v>65975.83</v>
      </c>
      <c r="E15" s="17">
        <v>10924.509999999998</v>
      </c>
      <c r="F15" s="17">
        <v>8876.27</v>
      </c>
      <c r="G15" s="17">
        <v>15161.13</v>
      </c>
      <c r="H15" s="17">
        <v>5943</v>
      </c>
      <c r="I15" s="17">
        <v>25568.35</v>
      </c>
      <c r="J15" s="17">
        <v>0</v>
      </c>
      <c r="K15" s="17">
        <v>0</v>
      </c>
      <c r="L15" s="18">
        <f t="shared" ref="L15:L18" si="2">SUM(B15:K15)</f>
        <v>169098.09</v>
      </c>
    </row>
    <row r="16" spans="1:12" ht="18.600000000000001" customHeight="1" x14ac:dyDescent="0.3">
      <c r="A16" s="16" t="s">
        <v>24</v>
      </c>
      <c r="B16" s="17">
        <v>11226.41</v>
      </c>
      <c r="C16" s="17">
        <v>22528.39</v>
      </c>
      <c r="D16" s="17">
        <v>44012.97</v>
      </c>
      <c r="E16" s="17">
        <v>6154.22</v>
      </c>
      <c r="F16" s="17">
        <v>20102.759999999998</v>
      </c>
      <c r="G16" s="17">
        <v>65241.29</v>
      </c>
      <c r="H16" s="17">
        <v>26900.44</v>
      </c>
      <c r="I16" s="17">
        <v>75576.83</v>
      </c>
      <c r="J16" s="17">
        <v>0</v>
      </c>
      <c r="K16" s="17">
        <v>3581</v>
      </c>
      <c r="L16" s="18">
        <f t="shared" si="2"/>
        <v>275324.31</v>
      </c>
    </row>
    <row r="17" spans="1:14" ht="18.600000000000001" customHeight="1" x14ac:dyDescent="0.3">
      <c r="A17" s="16" t="s">
        <v>18</v>
      </c>
      <c r="B17" s="17">
        <v>2462</v>
      </c>
      <c r="C17" s="17">
        <v>2926</v>
      </c>
      <c r="D17" s="17">
        <v>2343</v>
      </c>
      <c r="E17" s="17">
        <v>2699.91</v>
      </c>
      <c r="F17" s="17">
        <v>1437</v>
      </c>
      <c r="G17" s="17">
        <v>807</v>
      </c>
      <c r="H17" s="17">
        <v>1231</v>
      </c>
      <c r="I17" s="17">
        <v>1830</v>
      </c>
      <c r="J17" s="17">
        <v>494</v>
      </c>
      <c r="K17" s="17">
        <v>494</v>
      </c>
      <c r="L17" s="18">
        <f t="shared" si="2"/>
        <v>16723.91</v>
      </c>
    </row>
    <row r="18" spans="1:14" ht="18.600000000000001" customHeight="1" x14ac:dyDescent="0.3">
      <c r="A18" s="16" t="s">
        <v>19</v>
      </c>
      <c r="B18" s="17">
        <v>14200</v>
      </c>
      <c r="C18" s="17">
        <v>18000</v>
      </c>
      <c r="D18" s="17">
        <v>18000</v>
      </c>
      <c r="E18" s="17">
        <v>11000</v>
      </c>
      <c r="F18" s="17">
        <v>18000</v>
      </c>
      <c r="G18" s="17">
        <v>18000</v>
      </c>
      <c r="H18" s="17">
        <v>15400</v>
      </c>
      <c r="I18" s="17">
        <v>18000</v>
      </c>
      <c r="J18" s="17">
        <v>0</v>
      </c>
      <c r="K18" s="17">
        <v>0</v>
      </c>
      <c r="L18" s="18">
        <f t="shared" si="2"/>
        <v>130600</v>
      </c>
    </row>
    <row r="19" spans="1:14" ht="18.600000000000001" customHeight="1" x14ac:dyDescent="0.3">
      <c r="A19" s="10" t="s">
        <v>20</v>
      </c>
      <c r="B19" s="11">
        <f>B10-B13</f>
        <v>-71023.119999999937</v>
      </c>
      <c r="C19" s="11">
        <f t="shared" ref="C19:K19" si="3">C10-C13</f>
        <v>-143551.02000000002</v>
      </c>
      <c r="D19" s="11">
        <f t="shared" si="3"/>
        <v>-9746.859999999986</v>
      </c>
      <c r="E19" s="11">
        <f t="shared" si="3"/>
        <v>37538.359999999986</v>
      </c>
      <c r="F19" s="11">
        <f>F10-F13</f>
        <v>405096.87</v>
      </c>
      <c r="G19" s="11">
        <f t="shared" si="3"/>
        <v>243777.96999999997</v>
      </c>
      <c r="H19" s="11">
        <f t="shared" si="3"/>
        <v>92101.73</v>
      </c>
      <c r="I19" s="11">
        <f t="shared" si="3"/>
        <v>622576.02</v>
      </c>
      <c r="J19" s="11">
        <f t="shared" si="3"/>
        <v>130243.7</v>
      </c>
      <c r="K19" s="11">
        <f t="shared" si="3"/>
        <v>78941.39</v>
      </c>
      <c r="L19" s="12">
        <f>SUM(B19:K19)</f>
        <v>1385955.04</v>
      </c>
      <c r="N19" s="33"/>
    </row>
    <row r="20" spans="1:14" ht="18.600000000000001" customHeight="1" x14ac:dyDescent="0.3">
      <c r="A20" s="19" t="s">
        <v>26</v>
      </c>
      <c r="B20" s="20">
        <f>B19/B10</f>
        <v>-0.32295273692921878</v>
      </c>
      <c r="C20" s="20">
        <f t="shared" ref="C20:K20" si="4">C19/C10</f>
        <v>-0.45379286581356537</v>
      </c>
      <c r="D20" s="20">
        <f t="shared" si="4"/>
        <v>-1.4282808655679262E-2</v>
      </c>
      <c r="E20" s="20">
        <f t="shared" si="4"/>
        <v>0.13990302515308381</v>
      </c>
      <c r="F20" s="20">
        <f t="shared" si="4"/>
        <v>0.62091424235921644</v>
      </c>
      <c r="G20" s="20">
        <f t="shared" si="4"/>
        <v>0.30132502286717261</v>
      </c>
      <c r="H20" s="20">
        <f t="shared" si="4"/>
        <v>0.41689327551556188</v>
      </c>
      <c r="I20" s="20">
        <f t="shared" si="4"/>
        <v>0.4528421704966254</v>
      </c>
      <c r="J20" s="20">
        <f t="shared" si="4"/>
        <v>0.84028193548387098</v>
      </c>
      <c r="K20" s="20">
        <f t="shared" si="4"/>
        <v>0.63662411290322585</v>
      </c>
      <c r="L20" s="21">
        <f>L19/L10</f>
        <v>0.28735337504999303</v>
      </c>
    </row>
    <row r="21" spans="1:14" ht="18.600000000000001" customHeight="1" x14ac:dyDescent="0.3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4" ht="18.600000000000001" customHeight="1" x14ac:dyDescent="0.3">
      <c r="A22" s="16" t="s">
        <v>25</v>
      </c>
      <c r="B22" s="17">
        <v>24451.599999999999</v>
      </c>
      <c r="C22" s="17">
        <v>58496.13</v>
      </c>
      <c r="D22" s="17">
        <v>116635.05</v>
      </c>
      <c r="E22" s="17">
        <v>50922.77</v>
      </c>
      <c r="F22" s="17">
        <v>23405.02</v>
      </c>
      <c r="G22" s="17">
        <v>0</v>
      </c>
      <c r="H22" s="17">
        <v>14530.55</v>
      </c>
      <c r="I22" s="17">
        <v>86194.86</v>
      </c>
      <c r="J22" s="17">
        <v>0</v>
      </c>
      <c r="K22" s="17">
        <v>0</v>
      </c>
      <c r="L22" s="15">
        <f>SUM(B22:K22)</f>
        <v>374635.98</v>
      </c>
    </row>
    <row r="23" spans="1:14" ht="18.600000000000001" customHeight="1" x14ac:dyDescent="0.3">
      <c r="A23" s="10" t="s">
        <v>21</v>
      </c>
      <c r="B23" s="11">
        <f>B19-B22</f>
        <v>-95474.719999999943</v>
      </c>
      <c r="C23" s="11">
        <f t="shared" ref="C23:K23" si="5">C19-C22</f>
        <v>-202047.15000000002</v>
      </c>
      <c r="D23" s="11">
        <f t="shared" si="5"/>
        <v>-126381.90999999999</v>
      </c>
      <c r="E23" s="11">
        <f t="shared" si="5"/>
        <v>-13384.410000000011</v>
      </c>
      <c r="F23" s="11">
        <f t="shared" si="5"/>
        <v>381691.85</v>
      </c>
      <c r="G23" s="11">
        <f t="shared" si="5"/>
        <v>243777.96999999997</v>
      </c>
      <c r="H23" s="11">
        <f t="shared" si="5"/>
        <v>77571.179999999993</v>
      </c>
      <c r="I23" s="11">
        <f t="shared" si="5"/>
        <v>536381.16</v>
      </c>
      <c r="J23" s="11">
        <f t="shared" si="5"/>
        <v>130243.7</v>
      </c>
      <c r="K23" s="11">
        <f t="shared" si="5"/>
        <v>78941.39</v>
      </c>
      <c r="L23" s="12">
        <f>L19-L22</f>
        <v>1011319.06</v>
      </c>
    </row>
    <row r="24" spans="1:14" ht="18.600000000000001" customHeight="1" x14ac:dyDescent="0.3">
      <c r="A24" s="19" t="s">
        <v>27</v>
      </c>
      <c r="B24" s="20">
        <f>B23/B10</f>
        <v>-0.43413781500377385</v>
      </c>
      <c r="C24" s="20">
        <f t="shared" ref="C24:K24" si="6">C23/C10</f>
        <v>-0.63871057988973756</v>
      </c>
      <c r="D24" s="20">
        <f t="shared" si="6"/>
        <v>-0.18519693912391066</v>
      </c>
      <c r="E24" s="20">
        <f t="shared" si="6"/>
        <v>-4.9882825165755471E-2</v>
      </c>
      <c r="F24" s="20">
        <f t="shared" si="6"/>
        <v>0.58504008154256459</v>
      </c>
      <c r="G24" s="20">
        <f t="shared" si="6"/>
        <v>0.30132502286717261</v>
      </c>
      <c r="H24" s="20">
        <f t="shared" si="6"/>
        <v>0.35112156216617474</v>
      </c>
      <c r="I24" s="20">
        <f t="shared" si="6"/>
        <v>0.39014674658991477</v>
      </c>
      <c r="J24" s="20">
        <f t="shared" si="6"/>
        <v>0.84028193548387098</v>
      </c>
      <c r="K24" s="20">
        <f t="shared" si="6"/>
        <v>0.63662411290322585</v>
      </c>
      <c r="L24" s="34">
        <f>L23/L10</f>
        <v>0.2096792008082646</v>
      </c>
    </row>
    <row r="25" spans="1:14" ht="18.600000000000001" customHeight="1" x14ac:dyDescent="0.3"/>
    <row r="27" spans="1:14" x14ac:dyDescent="0.3">
      <c r="F27" s="33"/>
    </row>
    <row r="34" spans="6:6" x14ac:dyDescent="0.3">
      <c r="F3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2026-08-16T21:17:31Z</dcterms:created>
  <dcterms:modified xsi:type="dcterms:W3CDTF">2026-08-20T14:49:27Z</dcterms:modified>
</cp:coreProperties>
</file>