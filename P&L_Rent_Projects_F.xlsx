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سدرة الخير\Hub Project Data\"/>
    </mc:Choice>
  </mc:AlternateContent>
  <xr:revisionPtr revIDLastSave="0" documentId="13_ncr:1_{C1362F0C-A4C4-4CCA-8364-8B34BBA2C80C}" xr6:coauthVersionLast="47" xr6:coauthVersionMax="47" xr10:uidLastSave="{00000000-0000-0000-0000-000000000000}"/>
  <bookViews>
    <workbookView xWindow="-108" yWindow="-108" windowWidth="23256" windowHeight="13896" xr2:uid="{D8720DA4-03DD-471F-8DC0-E7471CF9924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5" i="1" l="1"/>
  <c r="L4" i="1"/>
  <c r="L3" i="1"/>
  <c r="L2" i="1"/>
</calcChain>
</file>

<file path=xl/sharedStrings.xml><?xml version="1.0" encoding="utf-8"?>
<sst xmlns="http://schemas.openxmlformats.org/spreadsheetml/2006/main" count="40" uniqueCount="28">
  <si>
    <t>ايجار الملقا</t>
  </si>
  <si>
    <t>ايجار النرجس</t>
  </si>
  <si>
    <t>ايجار المرسلات</t>
  </si>
  <si>
    <t>ايجار النزهة</t>
  </si>
  <si>
    <t>ايجار الياسمين</t>
  </si>
  <si>
    <t>ايجار الدرعية</t>
  </si>
  <si>
    <t>ايجار السويدى</t>
  </si>
  <si>
    <t>ايجار العارض</t>
  </si>
  <si>
    <t>فيلا الندي</t>
  </si>
  <si>
    <t>فيلا النزهة</t>
  </si>
  <si>
    <t>TOTAL</t>
  </si>
  <si>
    <t>Total Units</t>
  </si>
  <si>
    <t>Occupied units</t>
  </si>
  <si>
    <t>Occupancy Rate</t>
  </si>
  <si>
    <t>Improvements (Assets)</t>
  </si>
  <si>
    <t>Net Revenue</t>
  </si>
  <si>
    <t>Total OPEX</t>
  </si>
  <si>
    <t>Project Rent</t>
  </si>
  <si>
    <t>Maintenance &amp; Repairs</t>
  </si>
  <si>
    <t>Utilities (Electricity &amp; Water)</t>
  </si>
  <si>
    <t>Marketing</t>
  </si>
  <si>
    <t>Staff Salaries</t>
  </si>
  <si>
    <t>Operating Income</t>
  </si>
  <si>
    <t>Operating Income Margin (%)</t>
  </si>
  <si>
    <t>Net Profit</t>
  </si>
  <si>
    <t>Net Profit Margin (%)</t>
  </si>
  <si>
    <t>Improvements Amortization</t>
  </si>
  <si>
    <t>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</si>
</sst>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%"/>
    <numFmt numFmtId="165" formatCode="_(* #,##0_);_(* \(#,##0\);_(* &quot;-&quot;??_);_(@_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78"/>
      <scheme val="minor"/>
    </font>
    <font>
      <b/>
      <sz val="11"/>
      <color theme="0"/>
      <name val="Arial"/>
      <family val="2"/>
    </font>
    <font>
      <i/>
      <sz val="11"/>
      <color theme="1" tint="0.499984740745262"/>
      <name val="Calibri"/>
      <family val="2"/>
      <scheme val="minor"/>
    </font>
    <font>
      <b/>
      <sz val="11"/>
      <color rgb="FF000000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theme="0"/>
      <name val="Calibri"/>
      <family val="2"/>
      <charset val="1"/>
    </font>
    <font>
      <sz val="11"/>
      <color theme="1" tint="0.499984740745262"/>
      <name val="Calibri"/>
      <family val="2"/>
      <charset val="1"/>
    </font>
    <font>
      <i/>
      <sz val="11"/>
      <color theme="1" tint="0.499984740745262"/>
      <name val="Calibri"/>
      <family val="2"/>
      <charset val="1"/>
    </font>
    <font>
      <i/>
      <sz val="11"/>
      <color theme="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89013336588644"/>
        <bgColor rgb="FFD9EAF7"/>
      </patternFill>
    </fill>
    <fill>
      <patternFill patternType="solid">
        <fgColor theme="8" tint="-0.249977111117893"/>
        <bgColor rgb="FFD9EAF7"/>
      </patternFill>
    </fill>
  </fills>
  <borders count="16">
    <border>
      <left/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E1F2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E1F2"/>
      </right>
      <top style="thin">
        <color rgb="FFD9D9D9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/>
  </cellStyleXfs>
  <cellXfs count="32">
    <xf numFmtId="0" fontId="0" fillId="0" borderId="0" xfId="0"/>
    <xf numFmtId="0" fontId="0" fillId="0" borderId="0" xfId="0" applyAlignment="1">
      <alignment horizontal="center" vertical="center"/>
    </xf>
    <xf numFmtId="49" fontId="5" fillId="2" borderId="1" xfId="3" applyNumberFormat="1" applyFont="1" applyFill="1" applyBorder="1" applyAlignment="1">
      <alignment horizontal="center" vertical="center"/>
    </xf>
    <xf numFmtId="49" fontId="5" fillId="2" borderId="2" xfId="3" applyNumberFormat="1" applyFont="1" applyFill="1" applyBorder="1" applyAlignment="1">
      <alignment horizontal="center" vertical="center"/>
    </xf>
    <xf numFmtId="49" fontId="5" fillId="3" borderId="3" xfId="3" applyNumberFormat="1" applyFont="1" applyFill="1" applyBorder="1" applyAlignment="1">
      <alignment horizontal="center" vertical="center"/>
    </xf>
    <xf numFmtId="0" fontId="6" fillId="0" borderId="0" xfId="0" applyFont="1"/>
    <xf numFmtId="0" fontId="3" fillId="4" borderId="4" xfId="0" applyFont="1" applyFill="1" applyBorder="1"/>
    <xf numFmtId="0" fontId="3" fillId="4" borderId="5" xfId="0" applyFont="1" applyFill="1" applyBorder="1"/>
    <xf numFmtId="0" fontId="3" fillId="4" borderId="7" xfId="0" applyFont="1" applyFill="1" applyBorder="1"/>
    <xf numFmtId="0" fontId="3" fillId="4" borderId="8" xfId="0" applyFont="1" applyFill="1" applyBorder="1"/>
    <xf numFmtId="9" fontId="3" fillId="4" borderId="7" xfId="2" applyFont="1" applyFill="1" applyBorder="1"/>
    <xf numFmtId="9" fontId="3" fillId="4" borderId="8" xfId="2" applyFont="1" applyFill="1" applyBorder="1"/>
    <xf numFmtId="164" fontId="2" fillId="3" borderId="9" xfId="2" applyNumberFormat="1" applyFont="1" applyFill="1" applyBorder="1"/>
    <xf numFmtId="165" fontId="3" fillId="4" borderId="10" xfId="1" applyNumberFormat="1" applyFont="1" applyFill="1" applyBorder="1"/>
    <xf numFmtId="165" fontId="3" fillId="4" borderId="11" xfId="1" applyNumberFormat="1" applyFont="1" applyFill="1" applyBorder="1"/>
    <xf numFmtId="0" fontId="7" fillId="5" borderId="12" xfId="0" applyFont="1" applyFill="1" applyBorder="1"/>
    <xf numFmtId="165" fontId="7" fillId="5" borderId="12" xfId="1" applyNumberFormat="1" applyFont="1" applyFill="1" applyBorder="1" applyAlignment="1">
      <alignment horizontal="right" vertical="center"/>
    </xf>
    <xf numFmtId="165" fontId="8" fillId="6" borderId="13" xfId="1" applyNumberFormat="1" applyFont="1" applyFill="1" applyBorder="1" applyAlignment="1">
      <alignment horizontal="right" vertical="center"/>
    </xf>
    <xf numFmtId="0" fontId="7" fillId="0" borderId="12" xfId="0" applyFont="1" applyBorder="1"/>
    <xf numFmtId="165" fontId="7" fillId="0" borderId="12" xfId="1" applyNumberFormat="1" applyFont="1" applyBorder="1" applyAlignment="1">
      <alignment horizontal="right" vertical="center"/>
    </xf>
    <xf numFmtId="165" fontId="8" fillId="3" borderId="13" xfId="1" applyNumberFormat="1" applyFont="1" applyFill="1" applyBorder="1" applyAlignment="1">
      <alignment horizontal="right" vertical="center"/>
    </xf>
    <xf numFmtId="0" fontId="9" fillId="0" borderId="12" xfId="0" applyFont="1" applyBorder="1"/>
    <xf numFmtId="165" fontId="9" fillId="0" borderId="12" xfId="1" applyNumberFormat="1" applyFont="1" applyBorder="1" applyAlignment="1">
      <alignment horizontal="right" vertical="center"/>
    </xf>
    <xf numFmtId="165" fontId="10" fillId="3" borderId="13" xfId="1" applyNumberFormat="1" applyFont="1" applyFill="1" applyBorder="1" applyAlignment="1">
      <alignment horizontal="right" vertical="center"/>
    </xf>
    <xf numFmtId="0" fontId="11" fillId="0" borderId="12" xfId="0" applyFont="1" applyBorder="1"/>
    <xf numFmtId="164" fontId="12" fillId="0" borderId="12" xfId="0" applyNumberFormat="1" applyFont="1" applyBorder="1" applyAlignment="1">
      <alignment horizontal="right" vertical="center"/>
    </xf>
    <xf numFmtId="164" fontId="13" fillId="3" borderId="13" xfId="0" applyNumberFormat="1" applyFont="1" applyFill="1" applyBorder="1" applyAlignment="1">
      <alignment horizontal="right" vertical="center"/>
    </xf>
    <xf numFmtId="0" fontId="2" fillId="3" borderId="6" xfId="0" applyNumberFormat="1" applyFont="1" applyFill="1" applyBorder="1"/>
    <xf numFmtId="165" fontId="2" fillId="3" borderId="6" xfId="1" applyNumberFormat="1" applyFont="1" applyFill="1" applyBorder="1"/>
    <xf numFmtId="0" fontId="11" fillId="0" borderId="14" xfId="0" applyFont="1" applyBorder="1"/>
    <xf numFmtId="164" fontId="12" fillId="0" borderId="14" xfId="0" applyNumberFormat="1" applyFont="1" applyBorder="1" applyAlignment="1">
      <alignment horizontal="right" vertical="center"/>
    </xf>
    <xf numFmtId="164" fontId="13" fillId="3" borderId="15" xfId="0" applyNumberFormat="1" applyFont="1" applyFill="1" applyBorder="1" applyAlignment="1">
      <alignment horizontal="right" vertical="center"/>
    </xf>
  </cellXfs>
  <cellStyles count="4">
    <cellStyle name="Comma" xfId="1" builtinId="3"/>
    <cellStyle name="Normal" xfId="0" builtinId="0"/>
    <cellStyle name="Normal 3" xfId="3" xr:uid="{BCDE9B6F-D371-4E11-8F30-4B0D6DE6CDCA}"/>
    <cellStyle name="Percent" xfId="2" builtinId="5"/>
  </cellStyles>
  <dxfs count="16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30" formatCode="@"/>
      <fill>
        <patternFill patternType="solid">
          <fgColor indexed="64"/>
          <bgColor theme="8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4.9989318521683403E-2"/>
        </left>
        <right style="thin">
          <color theme="0" tint="-4.9989318521683403E-2"/>
        </right>
        <top/>
        <bottom/>
      </border>
    </dxf>
    <dxf>
      <border outline="0">
        <bottom style="thin">
          <color rgb="FFD9D9D9"/>
        </bottom>
      </border>
    </dxf>
    <dxf>
      <numFmt numFmtId="164" formatCode="0.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30" formatCode="@"/>
      <fill>
        <patternFill patternType="solid">
          <fgColor indexed="64"/>
          <bgColor theme="8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4.9989318521683403E-2"/>
        </left>
        <right style="thin">
          <color theme="0" tint="-4.9989318521683403E-2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3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3" tint="0.79998168889431442"/>
        </patternFill>
      </fill>
      <border diagonalUp="0" diagonalDown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3" tint="0.79998168889431442"/>
        </patternFill>
      </fill>
      <border diagonalUp="0" diagonalDown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3" tint="0.79998168889431442"/>
        </patternFill>
      </fill>
      <border diagonalUp="0" diagonalDown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3" tint="0.79998168889431442"/>
        </patternFill>
      </fill>
      <border diagonalUp="0" diagonalDown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3" tint="0.79998168889431442"/>
        </patternFill>
      </fill>
      <border diagonalUp="0" diagonalDown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3" tint="0.79998168889431442"/>
        </patternFill>
      </fill>
      <border diagonalUp="0" diagonalDown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3" tint="0.79998168889431442"/>
        </patternFill>
      </fill>
      <border diagonalUp="0" diagonalDown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3" tint="0.79998168889431442"/>
        </patternFill>
      </fill>
      <border diagonalUp="0" diagonalDown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3" tint="0.79998168889431442"/>
        </patternFill>
      </fill>
      <border diagonalUp="0" diagonalDown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3" tint="0.79998168889431442"/>
        </patternFill>
      </fill>
      <border diagonalUp="0" diagonalDown="0">
        <left/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 tint="0.499984740745262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617C18-5DD5-4293-ADEF-12A3AF245BA7}" name="occupancy" displayName="occupancy" ref="A1:L5" totalsRowShown="0" headerRowDxfId="3" dataDxfId="4" headerRowCellStyle="Normal 3" dataCellStyle="Percent">
  <autoFilter ref="A1:L5" xr:uid="{0C617C18-5DD5-4293-ADEF-12A3AF245BA7}"/>
  <tableColumns count="12">
    <tableColumn id="1" xr3:uid="{9BB78B6B-9017-48AA-907B-DFFBE122E04A}" name="Category" dataDxfId="15"/>
    <tableColumn id="2" xr3:uid="{3A542653-2853-408C-BAC8-A8CA1862B2D4}" name="ايجار الملقا" dataDxfId="14" dataCellStyle="Percent"/>
    <tableColumn id="3" xr3:uid="{147B61C1-F613-43BC-AF01-82B8496D1BCC}" name="ايجار النرجس" dataDxfId="13" dataCellStyle="Percent"/>
    <tableColumn id="4" xr3:uid="{778AD9A3-6658-41D2-9B96-0AA545212064}" name="ايجار المرسلات" dataDxfId="12" dataCellStyle="Percent"/>
    <tableColumn id="5" xr3:uid="{B30B15DA-6802-4366-8546-6A76B5DD1E93}" name="ايجار النزهة" dataDxfId="11" dataCellStyle="Percent"/>
    <tableColumn id="6" xr3:uid="{2F259610-B550-4920-BBE2-E8F63FB1FF2E}" name="ايجار الياسمين" dataDxfId="10" dataCellStyle="Percent"/>
    <tableColumn id="7" xr3:uid="{00EFD7BC-116E-4306-8BBE-CCC40483E33C}" name="ايجار الدرعية" dataDxfId="9" dataCellStyle="Percent"/>
    <tableColumn id="8" xr3:uid="{56F2FCA3-EB77-439C-9CC5-D178F54956F6}" name="ايجار السويدى" dataDxfId="8" dataCellStyle="Percent"/>
    <tableColumn id="9" xr3:uid="{B31C8387-A17D-4FEF-983A-61F89E1659C8}" name="ايجار العارض" dataDxfId="7" dataCellStyle="Percent"/>
    <tableColumn id="10" xr3:uid="{718E92B1-415F-4DFF-A1DC-D438DB02E139}" name="فيلا الندي" dataDxfId="6" dataCellStyle="Percent"/>
    <tableColumn id="11" xr3:uid="{6F7F5C6F-DC4C-4031-8C03-7CA779183D65}" name="فيلا النزهة" dataDxfId="5" dataCellStyle="Percent"/>
    <tableColumn id="12" xr3:uid="{F86F566A-5358-4455-8AD8-8FBC68C89943}" name="TOTAL" dataDxfId="2">
      <calculatedColumnFormula>AVERAGE(occupancy[[#This Row],[ايجار الملقا]:[فيلا النزهة]])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5BE1C88-1721-4CC7-96C5-0F260C35304A}" name="rent_P_L" displayName="rent_P_L" ref="A7:L19" totalsRowShown="0" headerRowDxfId="0" tableBorderDxfId="1" headerRowCellStyle="Normal 3">
  <autoFilter ref="A7:L19" xr:uid="{D5BE1C88-1721-4CC7-96C5-0F260C35304A}"/>
  <tableColumns count="12">
    <tableColumn id="1" xr3:uid="{9DF92254-83EE-43C7-AC1B-55C1C06C8B9E}" name="Category"/>
    <tableColumn id="2" xr3:uid="{3E74B3FC-419A-4E48-B546-7DB4EB79C8D3}" name="ايجار الملقا"/>
    <tableColumn id="3" xr3:uid="{2955034E-D833-4A35-BD0D-DD3F8550C9B6}" name="ايجار النرجس"/>
    <tableColumn id="4" xr3:uid="{23C6316A-4EC8-44D4-9B9E-B67497EBF825}" name="ايجار المرسلات"/>
    <tableColumn id="5" xr3:uid="{781FD08F-8D60-40D7-A795-6858AAFCD912}" name="ايجار النزهة"/>
    <tableColumn id="6" xr3:uid="{6D2BDFE0-CF7A-45E2-9E80-DD6CDDDA2964}" name="ايجار الياسمين"/>
    <tableColumn id="7" xr3:uid="{C33A115B-4BD3-4DE7-B737-84D3B78999F3}" name="ايجار الدرعية"/>
    <tableColumn id="8" xr3:uid="{B589ED5F-DB97-4D52-B3C9-A62CD58D72EB}" name="ايجار السويدى"/>
    <tableColumn id="9" xr3:uid="{C397D10B-BDE3-41B9-B4F8-B88506F963B9}" name="ايجار العارض"/>
    <tableColumn id="10" xr3:uid="{88E74039-1D5E-45A5-B638-D41A606D731C}" name="فيلا الندي"/>
    <tableColumn id="11" xr3:uid="{A53F79E4-5499-489D-A6AB-901F228BBF99}" name="فيلا النزهة"/>
    <tableColumn id="12" xr3:uid="{778100A9-529E-48EC-8100-14236ECE0E3A}" name="TOT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8CD7C-8A5C-4EE4-8C4C-F7117492D1F2}">
  <dimension ref="A1:L19"/>
  <sheetViews>
    <sheetView tabSelected="1" workbookViewId="0">
      <selection activeCell="A22" sqref="A22"/>
    </sheetView>
  </sheetViews>
  <sheetFormatPr defaultRowHeight="14.4" x14ac:dyDescent="0.3"/>
  <cols>
    <col min="1" max="1" width="36.44140625" customWidth="1"/>
    <col min="2" max="3" width="12.77734375" customWidth="1"/>
    <col min="4" max="4" width="13" customWidth="1"/>
    <col min="5" max="11" width="12.77734375" customWidth="1"/>
    <col min="12" max="12" width="15.33203125" customWidth="1"/>
  </cols>
  <sheetData>
    <row r="1" spans="1:12" s="1" customFormat="1" x14ac:dyDescent="0.3">
      <c r="A1" s="1" t="s">
        <v>27</v>
      </c>
      <c r="B1" s="2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4" t="s">
        <v>10</v>
      </c>
    </row>
    <row r="2" spans="1:12" x14ac:dyDescent="0.3">
      <c r="A2" s="5" t="s">
        <v>11</v>
      </c>
      <c r="B2" s="6">
        <v>13</v>
      </c>
      <c r="C2" s="7">
        <v>28</v>
      </c>
      <c r="D2" s="7">
        <v>41</v>
      </c>
      <c r="E2" s="7">
        <v>18</v>
      </c>
      <c r="F2" s="7">
        <v>31</v>
      </c>
      <c r="G2" s="7">
        <v>48</v>
      </c>
      <c r="H2" s="7">
        <v>9</v>
      </c>
      <c r="I2" s="7">
        <v>51</v>
      </c>
      <c r="J2" s="7">
        <v>10</v>
      </c>
      <c r="K2" s="7">
        <v>14</v>
      </c>
      <c r="L2" s="27">
        <f>SUM(occupancy[[#This Row],[ايجار الملقا]:[فيلا النزهة]])</f>
        <v>263</v>
      </c>
    </row>
    <row r="3" spans="1:12" x14ac:dyDescent="0.3">
      <c r="A3" s="5" t="s">
        <v>12</v>
      </c>
      <c r="B3" s="8">
        <v>8</v>
      </c>
      <c r="C3" s="9">
        <v>22</v>
      </c>
      <c r="D3" s="9">
        <v>34</v>
      </c>
      <c r="E3" s="9">
        <v>18</v>
      </c>
      <c r="F3" s="9">
        <v>30</v>
      </c>
      <c r="G3" s="9">
        <v>48</v>
      </c>
      <c r="H3" s="9">
        <v>7</v>
      </c>
      <c r="I3" s="9">
        <v>51</v>
      </c>
      <c r="J3" s="9">
        <v>9</v>
      </c>
      <c r="K3" s="9">
        <v>14</v>
      </c>
      <c r="L3" s="27">
        <f>SUM(occupancy[[#This Row],[ايجار الملقا]:[فيلا النزهة]])</f>
        <v>241</v>
      </c>
    </row>
    <row r="4" spans="1:12" x14ac:dyDescent="0.3">
      <c r="A4" s="5" t="s">
        <v>13</v>
      </c>
      <c r="B4" s="10">
        <v>0.61538461538461542</v>
      </c>
      <c r="C4" s="11">
        <v>0.7857142857142857</v>
      </c>
      <c r="D4" s="11">
        <v>0.82926829268292679</v>
      </c>
      <c r="E4" s="11">
        <v>1</v>
      </c>
      <c r="F4" s="11">
        <v>0.967741935483871</v>
      </c>
      <c r="G4" s="11">
        <v>1</v>
      </c>
      <c r="H4" s="11">
        <v>0.77777777777777779</v>
      </c>
      <c r="I4" s="11">
        <v>1</v>
      </c>
      <c r="J4" s="11">
        <v>0.9</v>
      </c>
      <c r="K4" s="11">
        <v>1</v>
      </c>
      <c r="L4" s="12">
        <f>AVERAGE(occupancy[[#This Row],[ايجار الملقا]:[فيلا النزهة]])</f>
        <v>0.88758869070434765</v>
      </c>
    </row>
    <row r="5" spans="1:12" x14ac:dyDescent="0.3">
      <c r="A5" s="5" t="s">
        <v>14</v>
      </c>
      <c r="B5" s="13">
        <v>263984.25</v>
      </c>
      <c r="C5" s="14">
        <v>1053228.27</v>
      </c>
      <c r="D5" s="14">
        <v>563328.69999999995</v>
      </c>
      <c r="E5" s="14">
        <v>876392.56</v>
      </c>
      <c r="F5" s="14">
        <v>300146.36</v>
      </c>
      <c r="G5" s="14">
        <v>250000</v>
      </c>
      <c r="H5" s="14">
        <v>220379.96</v>
      </c>
      <c r="I5" s="14">
        <v>716213.33000000007</v>
      </c>
      <c r="J5" s="14">
        <v>335924.65</v>
      </c>
      <c r="K5" s="14">
        <v>654450.31999999995</v>
      </c>
      <c r="L5" s="28">
        <f>SUM(occupancy[[#This Row],[ايجار الملقا]:[فيلا النزهة]])</f>
        <v>5234048.4000000004</v>
      </c>
    </row>
    <row r="7" spans="1:12" x14ac:dyDescent="0.3">
      <c r="A7" s="1" t="s">
        <v>27</v>
      </c>
      <c r="B7" s="2" t="s">
        <v>0</v>
      </c>
      <c r="C7" s="3" t="s">
        <v>1</v>
      </c>
      <c r="D7" s="3" t="s">
        <v>2</v>
      </c>
      <c r="E7" s="3" t="s">
        <v>3</v>
      </c>
      <c r="F7" s="3" t="s">
        <v>4</v>
      </c>
      <c r="G7" s="3" t="s">
        <v>5</v>
      </c>
      <c r="H7" s="3" t="s">
        <v>6</v>
      </c>
      <c r="I7" s="3" t="s">
        <v>7</v>
      </c>
      <c r="J7" s="3" t="s">
        <v>8</v>
      </c>
      <c r="K7" s="3" t="s">
        <v>9</v>
      </c>
      <c r="L7" s="4" t="s">
        <v>10</v>
      </c>
    </row>
    <row r="8" spans="1:12" x14ac:dyDescent="0.3">
      <c r="A8" s="15" t="s">
        <v>15</v>
      </c>
      <c r="B8" s="16">
        <v>242833</v>
      </c>
      <c r="C8" s="16">
        <v>209506</v>
      </c>
      <c r="D8" s="16">
        <v>1063845</v>
      </c>
      <c r="E8" s="16">
        <v>192118</v>
      </c>
      <c r="F8" s="16">
        <v>320457</v>
      </c>
      <c r="G8" s="16">
        <v>371434</v>
      </c>
      <c r="H8" s="16">
        <v>167663</v>
      </c>
      <c r="I8" s="16">
        <v>2077101</v>
      </c>
      <c r="J8" s="16">
        <v>98000</v>
      </c>
      <c r="K8" s="16">
        <v>140867</v>
      </c>
      <c r="L8" s="17">
        <v>4883824</v>
      </c>
    </row>
    <row r="9" spans="1:12" x14ac:dyDescent="0.3">
      <c r="A9" s="21" t="s">
        <v>17</v>
      </c>
      <c r="B9" s="22">
        <v>350000</v>
      </c>
      <c r="C9" s="22">
        <v>550000</v>
      </c>
      <c r="D9" s="22">
        <v>750000</v>
      </c>
      <c r="E9" s="22">
        <v>200000</v>
      </c>
      <c r="F9" s="22">
        <v>200000</v>
      </c>
      <c r="G9" s="22">
        <v>510000</v>
      </c>
      <c r="H9" s="22">
        <v>104000</v>
      </c>
      <c r="I9" s="22">
        <v>1276375</v>
      </c>
      <c r="J9" s="22">
        <v>185000</v>
      </c>
      <c r="K9" s="22">
        <v>100000</v>
      </c>
      <c r="L9" s="23">
        <v>4225375</v>
      </c>
    </row>
    <row r="10" spans="1:12" x14ac:dyDescent="0.3">
      <c r="A10" s="21" t="s">
        <v>18</v>
      </c>
      <c r="B10" s="22">
        <v>25365</v>
      </c>
      <c r="C10" s="22">
        <v>4535</v>
      </c>
      <c r="D10" s="22">
        <v>16889.95</v>
      </c>
      <c r="E10" s="22">
        <v>12811.21</v>
      </c>
      <c r="F10" s="22">
        <v>5742.27</v>
      </c>
      <c r="G10" s="22">
        <v>3005.74</v>
      </c>
      <c r="H10" s="22">
        <v>4358</v>
      </c>
      <c r="I10" s="22">
        <v>10880</v>
      </c>
      <c r="J10" s="22">
        <v>0</v>
      </c>
      <c r="K10" s="22">
        <v>30</v>
      </c>
      <c r="L10" s="23">
        <v>83617.17</v>
      </c>
    </row>
    <row r="11" spans="1:12" x14ac:dyDescent="0.3">
      <c r="A11" s="21" t="s">
        <v>19</v>
      </c>
      <c r="B11" s="22">
        <v>4829.95</v>
      </c>
      <c r="C11" s="22">
        <v>22528.39</v>
      </c>
      <c r="D11" s="22">
        <v>22405.94</v>
      </c>
      <c r="E11" s="22">
        <v>5071.17</v>
      </c>
      <c r="F11" s="22">
        <v>20601.38</v>
      </c>
      <c r="G11" s="22">
        <v>34642.92</v>
      </c>
      <c r="H11" s="22">
        <v>25048.400000000001</v>
      </c>
      <c r="I11" s="22">
        <v>32055.17</v>
      </c>
      <c r="J11" s="22">
        <v>0</v>
      </c>
      <c r="K11" s="22">
        <v>0</v>
      </c>
      <c r="L11" s="23">
        <v>167183.32</v>
      </c>
    </row>
    <row r="12" spans="1:12" x14ac:dyDescent="0.3">
      <c r="A12" s="21" t="s">
        <v>20</v>
      </c>
      <c r="B12" s="22">
        <v>1768</v>
      </c>
      <c r="C12" s="22">
        <v>1432</v>
      </c>
      <c r="D12" s="22">
        <v>1698</v>
      </c>
      <c r="E12" s="22">
        <v>1255.9100000000001</v>
      </c>
      <c r="F12" s="22">
        <v>505</v>
      </c>
      <c r="G12" s="22">
        <v>525</v>
      </c>
      <c r="H12" s="22">
        <v>749</v>
      </c>
      <c r="I12" s="22">
        <v>5665.25</v>
      </c>
      <c r="J12" s="22">
        <v>0</v>
      </c>
      <c r="K12" s="22">
        <v>0</v>
      </c>
      <c r="L12" s="23">
        <v>13598.16</v>
      </c>
    </row>
    <row r="13" spans="1:12" x14ac:dyDescent="0.3">
      <c r="A13" s="21" t="s">
        <v>21</v>
      </c>
      <c r="B13" s="22">
        <v>9000</v>
      </c>
      <c r="C13" s="22">
        <v>6900</v>
      </c>
      <c r="D13" s="22">
        <v>21000</v>
      </c>
      <c r="E13" s="22">
        <v>4500</v>
      </c>
      <c r="F13" s="22">
        <v>2100</v>
      </c>
      <c r="G13" s="22">
        <v>12000</v>
      </c>
      <c r="H13" s="22">
        <v>9900</v>
      </c>
      <c r="I13" s="22">
        <v>19250</v>
      </c>
      <c r="J13" s="22">
        <v>0</v>
      </c>
      <c r="K13" s="22">
        <v>0</v>
      </c>
      <c r="L13" s="23">
        <v>84650</v>
      </c>
    </row>
    <row r="14" spans="1:12" x14ac:dyDescent="0.3">
      <c r="A14" s="18" t="s">
        <v>16</v>
      </c>
      <c r="B14" s="19">
        <v>390962.95</v>
      </c>
      <c r="C14" s="19">
        <v>585395.39</v>
      </c>
      <c r="D14" s="19">
        <v>811993.8899999999</v>
      </c>
      <c r="E14" s="19">
        <v>223638.29</v>
      </c>
      <c r="F14" s="19">
        <v>228948.65</v>
      </c>
      <c r="G14" s="19">
        <v>560173.66</v>
      </c>
      <c r="H14" s="19">
        <v>144055.4</v>
      </c>
      <c r="I14" s="19">
        <v>1344225.42</v>
      </c>
      <c r="J14" s="19">
        <v>185000</v>
      </c>
      <c r="K14" s="19">
        <v>100030</v>
      </c>
      <c r="L14" s="20">
        <v>4574423.6500000004</v>
      </c>
    </row>
    <row r="15" spans="1:12" x14ac:dyDescent="0.3">
      <c r="A15" s="15" t="s">
        <v>22</v>
      </c>
      <c r="B15" s="16">
        <v>-148129.95000000001</v>
      </c>
      <c r="C15" s="16">
        <v>-375889.39</v>
      </c>
      <c r="D15" s="16">
        <v>251851.1100000001</v>
      </c>
      <c r="E15" s="16">
        <v>-31520.290000000008</v>
      </c>
      <c r="F15" s="16">
        <v>91508.35</v>
      </c>
      <c r="G15" s="16">
        <v>-188739.66000000003</v>
      </c>
      <c r="H15" s="16">
        <v>23607.600000000006</v>
      </c>
      <c r="I15" s="16">
        <v>732875.58000000007</v>
      </c>
      <c r="J15" s="16">
        <v>-87000</v>
      </c>
      <c r="K15" s="16">
        <v>40837</v>
      </c>
      <c r="L15" s="17">
        <v>309400.35000000009</v>
      </c>
    </row>
    <row r="16" spans="1:12" x14ac:dyDescent="0.3">
      <c r="A16" s="24" t="s">
        <v>23</v>
      </c>
      <c r="B16" s="25">
        <v>-0.61000749486272465</v>
      </c>
      <c r="C16" s="25">
        <v>-1.7941700476358673</v>
      </c>
      <c r="D16" s="25">
        <v>0.23673665806578975</v>
      </c>
      <c r="E16" s="25">
        <v>-0.1640673440281494</v>
      </c>
      <c r="F16" s="25">
        <v>0.28555578439541035</v>
      </c>
      <c r="G16" s="25">
        <v>-0.50813781183198103</v>
      </c>
      <c r="H16" s="25">
        <v>0.14080387443860604</v>
      </c>
      <c r="I16" s="25">
        <v>0.35283579373367019</v>
      </c>
      <c r="J16" s="25">
        <v>-0.88775510204081631</v>
      </c>
      <c r="K16" s="25">
        <v>0.28989756294944879</v>
      </c>
      <c r="L16" s="26">
        <v>6.3352067969689341E-2</v>
      </c>
    </row>
    <row r="17" spans="1:12" x14ac:dyDescent="0.3">
      <c r="A17" s="21" t="s">
        <v>26</v>
      </c>
      <c r="B17" s="22">
        <v>0</v>
      </c>
      <c r="C17" s="22">
        <v>0</v>
      </c>
      <c r="D17" s="22">
        <v>9617.74</v>
      </c>
      <c r="E17" s="22">
        <v>0</v>
      </c>
      <c r="F17" s="22">
        <v>0</v>
      </c>
      <c r="G17" s="22">
        <v>0</v>
      </c>
      <c r="H17" s="22">
        <v>0</v>
      </c>
      <c r="I17" s="22">
        <v>0</v>
      </c>
      <c r="J17" s="22">
        <v>0</v>
      </c>
      <c r="K17" s="22">
        <v>0</v>
      </c>
      <c r="L17" s="20">
        <v>9617.74</v>
      </c>
    </row>
    <row r="18" spans="1:12" x14ac:dyDescent="0.3">
      <c r="A18" s="15" t="s">
        <v>24</v>
      </c>
      <c r="B18" s="16">
        <v>-148129.95000000001</v>
      </c>
      <c r="C18" s="16">
        <v>-375889.39</v>
      </c>
      <c r="D18" s="16">
        <v>242233.37000000011</v>
      </c>
      <c r="E18" s="16">
        <v>-31520.290000000008</v>
      </c>
      <c r="F18" s="16">
        <v>91508.35</v>
      </c>
      <c r="G18" s="16">
        <v>-188739.66000000003</v>
      </c>
      <c r="H18" s="16">
        <v>23607.600000000006</v>
      </c>
      <c r="I18" s="16">
        <v>732875.58000000007</v>
      </c>
      <c r="J18" s="16">
        <v>-87000</v>
      </c>
      <c r="K18" s="16">
        <v>40837</v>
      </c>
      <c r="L18" s="17">
        <v>299782.6100000001</v>
      </c>
    </row>
    <row r="19" spans="1:12" x14ac:dyDescent="0.3">
      <c r="A19" s="29" t="s">
        <v>25</v>
      </c>
      <c r="B19" s="30">
        <v>-0.61000749486272465</v>
      </c>
      <c r="C19" s="30">
        <v>-1.7941700476358673</v>
      </c>
      <c r="D19" s="30">
        <v>0.22769611174560214</v>
      </c>
      <c r="E19" s="30">
        <v>-0.1640673440281494</v>
      </c>
      <c r="F19" s="30">
        <v>0.28555578439541035</v>
      </c>
      <c r="G19" s="30">
        <v>-0.50813781183198103</v>
      </c>
      <c r="H19" s="30">
        <v>0.14080387443860604</v>
      </c>
      <c r="I19" s="30">
        <v>0.35283579373367019</v>
      </c>
      <c r="J19" s="30">
        <v>-0.88775510204081631</v>
      </c>
      <c r="K19" s="30">
        <v>0.28989756294944879</v>
      </c>
      <c r="L19" s="31">
        <v>6.1382762769501956E-2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2026-08-16T21:17:31Z</dcterms:created>
  <dcterms:modified xsi:type="dcterms:W3CDTF">2026-08-18T02:49:36Z</dcterms:modified>
</cp:coreProperties>
</file>