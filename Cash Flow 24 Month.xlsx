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F15F5BD8-6890-412D-B2F5-1BBB42D24F1F}" xr6:coauthVersionLast="47" xr6:coauthVersionMax="47" xr10:uidLastSave="{00000000-0000-0000-0000-000000000000}"/>
  <bookViews>
    <workbookView xWindow="-108" yWindow="-108" windowWidth="23256" windowHeight="13896" xr2:uid="{CB791584-A06D-4D2A-A996-547D16A537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D1" i="1" s="1"/>
  <c r="E1" i="1" s="1"/>
  <c r="F1" i="1" s="1"/>
  <c r="G1" i="1" s="1"/>
  <c r="H1" i="1" s="1"/>
  <c r="I1" i="1" s="1"/>
  <c r="J1" i="1" s="1"/>
  <c r="K1" i="1" s="1"/>
  <c r="L1" i="1" s="1"/>
  <c r="L44" i="1" l="1"/>
  <c r="K44" i="1"/>
  <c r="J44" i="1"/>
  <c r="I44" i="1"/>
  <c r="H44" i="1"/>
  <c r="G44" i="1"/>
  <c r="F44" i="1"/>
  <c r="E44" i="1"/>
  <c r="D44" i="1"/>
  <c r="C44" i="1"/>
  <c r="B44" i="1"/>
  <c r="B19" i="1"/>
  <c r="B46" i="1" l="1"/>
  <c r="C2" i="1" s="1"/>
  <c r="C19" i="1" s="1"/>
  <c r="C46" i="1" s="1"/>
  <c r="D2" i="1" s="1"/>
  <c r="D19" i="1" s="1"/>
  <c r="D46" i="1" s="1"/>
  <c r="E2" i="1" s="1"/>
  <c r="E19" i="1" s="1"/>
  <c r="E46" i="1" s="1"/>
  <c r="F2" i="1" s="1"/>
  <c r="F19" i="1" s="1"/>
  <c r="F46" i="1" s="1"/>
  <c r="G2" i="1" s="1"/>
  <c r="G19" i="1" s="1"/>
  <c r="G46" i="1" s="1"/>
  <c r="H2" i="1" s="1"/>
  <c r="H19" i="1" s="1"/>
  <c r="H46" i="1" s="1"/>
  <c r="I2" i="1" s="1"/>
  <c r="I19" i="1" s="1"/>
  <c r="I46" i="1" s="1"/>
  <c r="J2" i="1" s="1"/>
  <c r="J19" i="1" s="1"/>
  <c r="J46" i="1" s="1"/>
  <c r="K2" i="1" s="1"/>
  <c r="K19" i="1" s="1"/>
  <c r="K46" i="1" s="1"/>
  <c r="L2" i="1" s="1"/>
  <c r="L19" i="1" s="1"/>
  <c r="L46" i="1" s="1"/>
</calcChain>
</file>

<file path=xl/sharedStrings.xml><?xml version="1.0" encoding="utf-8"?>
<sst xmlns="http://schemas.openxmlformats.org/spreadsheetml/2006/main" count="44" uniqueCount="41">
  <si>
    <t>بنك الراجحي</t>
  </si>
  <si>
    <t>البنك الأهلي</t>
  </si>
  <si>
    <t>أبو القاسم</t>
  </si>
  <si>
    <t>أبو ديما</t>
  </si>
  <si>
    <t>الايجارات</t>
  </si>
  <si>
    <t>الرمال</t>
  </si>
  <si>
    <t>العليا 2</t>
  </si>
  <si>
    <t>العليا 3</t>
  </si>
  <si>
    <t>العليا 4</t>
  </si>
  <si>
    <t>VAT</t>
  </si>
  <si>
    <t>مساهمين</t>
  </si>
  <si>
    <t>تمويلات</t>
  </si>
  <si>
    <t>الجمال</t>
  </si>
  <si>
    <t>مبلغ مستحق ابو نوره</t>
  </si>
  <si>
    <t>العريفي</t>
  </si>
  <si>
    <t>اخرى</t>
  </si>
  <si>
    <t>CASH IN</t>
  </si>
  <si>
    <t>تصفية مساهمين</t>
  </si>
  <si>
    <t>سداد تمويل دينار العقد الأول</t>
  </si>
  <si>
    <t>سداد تمويل دينار العقد الثاني</t>
  </si>
  <si>
    <t>سداد تمويل دينار العقد 3</t>
  </si>
  <si>
    <t>سداد تمويل املاك</t>
  </si>
  <si>
    <t>Salaries</t>
  </si>
  <si>
    <t>Vendors</t>
  </si>
  <si>
    <t>مصروفات صيانة</t>
  </si>
  <si>
    <t>مصروفات كهرباء ومياه</t>
  </si>
  <si>
    <t>ايجار المكتب</t>
  </si>
  <si>
    <t>ابجار فلل المرسلات</t>
  </si>
  <si>
    <t>ايجار العارض</t>
  </si>
  <si>
    <t>ايجار الدرعية</t>
  </si>
  <si>
    <t>ايجار السويدي</t>
  </si>
  <si>
    <t>ايجار الملقا</t>
  </si>
  <si>
    <t>ايجار عمارة النزهة</t>
  </si>
  <si>
    <t>ايجار النرجس</t>
  </si>
  <si>
    <t>ايجار الياسمين</t>
  </si>
  <si>
    <t>ايجار فيلا الندي</t>
  </si>
  <si>
    <t>ايجار فيلا النزهة</t>
  </si>
  <si>
    <t>Others</t>
  </si>
  <si>
    <t>Cash out</t>
  </si>
  <si>
    <t>Cash end of period</t>
  </si>
  <si>
    <t>Cash beginnin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</si>
</sst>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</font>
    <font>
      <b/>
      <sz val="11"/>
      <color theme="0"/>
      <name val="Calibri"/>
      <family val="2"/>
    </font>
    <font>
      <b/>
      <sz val="9"/>
      <color theme="1"/>
      <name val="Calibri"/>
      <family val="2"/>
    </font>
    <font>
      <b/>
      <u/>
      <sz val="11"/>
      <color rgb="FFF2F7FC"/>
      <name val="Calibri"/>
      <family val="2"/>
    </font>
    <font>
      <b/>
      <sz val="9"/>
      <color rgb="FFF2F7FC"/>
      <name val="Calibri"/>
      <family val="2"/>
    </font>
    <font>
      <b/>
      <sz val="11"/>
      <color rgb="FF006100"/>
      <name val="Calibri"/>
      <family val="2"/>
    </font>
    <font>
      <b/>
      <sz val="9"/>
      <color rgb="FF0061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4" fontId="6" fillId="3" borderId="2" xfId="1" applyNumberFormat="1" applyFont="1" applyFill="1" applyBorder="1" applyAlignment="1">
      <alignment horizontal="center"/>
    </xf>
    <xf numFmtId="164" fontId="7" fillId="3" borderId="2" xfId="1" applyNumberFormat="1" applyFont="1" applyFill="1" applyBorder="1" applyAlignment="1"/>
    <xf numFmtId="0" fontId="8" fillId="4" borderId="1" xfId="0" applyFont="1" applyFill="1" applyBorder="1" applyAlignment="1">
      <alignment horizontal="center"/>
    </xf>
    <xf numFmtId="164" fontId="4" fillId="4" borderId="2" xfId="1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64" fontId="7" fillId="5" borderId="2" xfId="1" applyNumberFormat="1" applyFont="1" applyFill="1" applyBorder="1" applyAlignment="1"/>
    <xf numFmtId="164" fontId="9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right"/>
    </xf>
    <xf numFmtId="0" fontId="10" fillId="6" borderId="3" xfId="0" applyFont="1" applyFill="1" applyBorder="1" applyAlignment="1">
      <alignment horizontal="center"/>
    </xf>
    <xf numFmtId="164" fontId="11" fillId="6" borderId="4" xfId="1" applyNumberFormat="1" applyFont="1" applyFill="1" applyBorder="1" applyAlignment="1">
      <alignment horizontal="center"/>
    </xf>
    <xf numFmtId="0" fontId="12" fillId="7" borderId="0" xfId="0" applyFont="1" applyFill="1" applyAlignment="1">
      <alignment horizontal="left"/>
    </xf>
    <xf numFmtId="3" fontId="13" fillId="7" borderId="0" xfId="0" applyNumberFormat="1" applyFont="1" applyFill="1" applyAlignment="1">
      <alignment horizontal="center"/>
    </xf>
    <xf numFmtId="0" fontId="2" fillId="8" borderId="0" xfId="0" applyFont="1" applyFill="1"/>
    <xf numFmtId="17" fontId="2" fillId="8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9B7F5-5F2A-406E-9797-3DA7F5C46C92}">
  <dimension ref="A1:L46"/>
  <sheetViews>
    <sheetView tabSelected="1" zoomScale="80" zoomScaleNormal="80" workbookViewId="0">
      <selection activeCell="L40" sqref="L40"/>
    </sheetView>
  </sheetViews>
  <sheetFormatPr defaultRowHeight="14.4" x14ac:dyDescent="0.3"/>
  <cols>
    <col min="1" max="1" width="23.6640625" bestFit="1" customWidth="1"/>
    <col min="2" max="5" width="8.88671875" bestFit="1" customWidth="1"/>
    <col min="6" max="9" width="9.77734375" bestFit="1" customWidth="1"/>
    <col min="10" max="10" width="8.88671875" bestFit="1" customWidth="1"/>
    <col min="11" max="12" width="9.77734375" bestFit="1" customWidth="1"/>
  </cols>
  <sheetData>
    <row r="1" spans="1:12" x14ac:dyDescent="0.3">
      <c r="A1" s="17"/>
      <c r="B1" s="18">
        <v>46265</v>
      </c>
      <c r="C1" s="18">
        <f>EOMONTH(B1,1)</f>
        <v>46295</v>
      </c>
      <c r="D1" s="18">
        <f t="shared" ref="D1:L1" si="0">EOMONTH(C1,1)</f>
        <v>46326</v>
      </c>
      <c r="E1" s="18">
        <f t="shared" si="0"/>
        <v>46356</v>
      </c>
      <c r="F1" s="18">
        <f t="shared" si="0"/>
        <v>46387</v>
      </c>
      <c r="G1" s="18">
        <f t="shared" si="0"/>
        <v>46418</v>
      </c>
      <c r="H1" s="18">
        <f t="shared" si="0"/>
        <v>46446</v>
      </c>
      <c r="I1" s="18">
        <f t="shared" si="0"/>
        <v>46477</v>
      </c>
      <c r="J1" s="18">
        <f t="shared" si="0"/>
        <v>46507</v>
      </c>
      <c r="K1" s="18">
        <f t="shared" si="0"/>
        <v>46538</v>
      </c>
      <c r="L1" s="18">
        <f t="shared" si="0"/>
        <v>46568</v>
      </c>
    </row>
    <row r="2" spans="1:12" x14ac:dyDescent="0.3">
      <c r="A2" s="1" t="s">
        <v>40</v>
      </c>
      <c r="B2" s="2">
        <v>0</v>
      </c>
      <c r="C2" s="2">
        <f>B46</f>
        <v>525707</v>
      </c>
      <c r="D2" s="2">
        <f t="shared" ref="D2:L2" si="1">C46</f>
        <v>191123</v>
      </c>
      <c r="E2" s="2">
        <f t="shared" si="1"/>
        <v>5073821</v>
      </c>
      <c r="F2" s="2">
        <f t="shared" si="1"/>
        <v>7180571</v>
      </c>
      <c r="G2" s="2">
        <f t="shared" si="1"/>
        <v>11360571</v>
      </c>
      <c r="H2" s="2">
        <f t="shared" si="1"/>
        <v>11918571</v>
      </c>
      <c r="I2" s="2">
        <f t="shared" si="1"/>
        <v>9232371</v>
      </c>
      <c r="J2" s="2">
        <f t="shared" si="1"/>
        <v>7391271</v>
      </c>
      <c r="K2" s="2">
        <f t="shared" si="1"/>
        <v>8766284</v>
      </c>
      <c r="L2" s="2">
        <f t="shared" si="1"/>
        <v>9946284</v>
      </c>
    </row>
    <row r="3" spans="1:12" x14ac:dyDescent="0.3">
      <c r="A3" s="3" t="s">
        <v>0</v>
      </c>
      <c r="B3" s="4">
        <v>55000</v>
      </c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3">
      <c r="A4" s="3" t="s">
        <v>1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x14ac:dyDescent="0.3">
      <c r="A5" s="3" t="s">
        <v>2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x14ac:dyDescent="0.3">
      <c r="A6" s="3" t="s">
        <v>3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3">
      <c r="A7" s="3" t="s">
        <v>4</v>
      </c>
      <c r="B7" s="4">
        <v>125117</v>
      </c>
      <c r="C7" s="4">
        <v>268058</v>
      </c>
      <c r="D7" s="4">
        <v>294948</v>
      </c>
      <c r="E7" s="5"/>
      <c r="F7" s="5"/>
      <c r="G7" s="5"/>
      <c r="H7" s="5"/>
      <c r="I7" s="5"/>
      <c r="J7" s="5"/>
      <c r="K7" s="5"/>
      <c r="L7" s="5"/>
    </row>
    <row r="8" spans="1:12" x14ac:dyDescent="0.3">
      <c r="A8" s="3" t="s">
        <v>5</v>
      </c>
      <c r="B8" s="5"/>
      <c r="C8" s="5"/>
      <c r="D8" s="4">
        <v>1250000</v>
      </c>
      <c r="E8" s="4">
        <v>1250000</v>
      </c>
      <c r="F8" s="4">
        <v>2500000</v>
      </c>
      <c r="G8" s="5"/>
      <c r="H8" s="5"/>
      <c r="I8" s="5"/>
      <c r="J8" s="4">
        <v>13</v>
      </c>
      <c r="K8" s="5"/>
      <c r="L8" s="5"/>
    </row>
    <row r="9" spans="1:12" x14ac:dyDescent="0.3">
      <c r="A9" s="3" t="s">
        <v>6</v>
      </c>
      <c r="B9" s="4">
        <v>3520000</v>
      </c>
      <c r="C9" s="4">
        <v>3160000</v>
      </c>
      <c r="D9" s="4">
        <v>1350000</v>
      </c>
      <c r="E9" s="4">
        <v>1350000</v>
      </c>
      <c r="F9" s="5"/>
      <c r="G9" s="5"/>
      <c r="H9" s="5"/>
      <c r="I9" s="5"/>
      <c r="J9" s="5"/>
      <c r="K9" s="5"/>
      <c r="L9" s="5"/>
    </row>
    <row r="10" spans="1:12" x14ac:dyDescent="0.3">
      <c r="A10" s="3" t="s">
        <v>7</v>
      </c>
      <c r="B10" s="5"/>
      <c r="C10" s="4">
        <v>1640000</v>
      </c>
      <c r="D10" s="4">
        <v>1640000</v>
      </c>
      <c r="E10" s="4">
        <v>1460000</v>
      </c>
      <c r="F10" s="4">
        <v>1460000</v>
      </c>
      <c r="G10" s="4">
        <v>1280000</v>
      </c>
      <c r="H10" s="4">
        <v>1280000</v>
      </c>
      <c r="I10" s="5"/>
      <c r="J10" s="5"/>
      <c r="K10" s="5"/>
      <c r="L10" s="5"/>
    </row>
    <row r="11" spans="1:12" x14ac:dyDescent="0.3">
      <c r="A11" s="3" t="s">
        <v>8</v>
      </c>
      <c r="B11" s="5"/>
      <c r="C11" s="5"/>
      <c r="D11" s="5"/>
      <c r="E11" s="5"/>
      <c r="F11" s="4">
        <v>1640000</v>
      </c>
      <c r="G11" s="4">
        <v>1640000</v>
      </c>
      <c r="H11" s="4">
        <v>1460000</v>
      </c>
      <c r="I11" s="4">
        <v>1460000</v>
      </c>
      <c r="J11" s="4">
        <v>1280000</v>
      </c>
      <c r="K11" s="4">
        <v>1280000</v>
      </c>
      <c r="L11" s="5"/>
    </row>
    <row r="12" spans="1:12" x14ac:dyDescent="0.3">
      <c r="A12" s="3" t="s">
        <v>9</v>
      </c>
      <c r="B12" s="5"/>
      <c r="C12" s="5"/>
      <c r="D12" s="4">
        <v>130000</v>
      </c>
      <c r="E12" s="5"/>
      <c r="F12" s="4">
        <v>130000</v>
      </c>
      <c r="G12" s="5"/>
      <c r="H12" s="5"/>
      <c r="I12" s="4">
        <v>130000</v>
      </c>
      <c r="J12" s="5"/>
      <c r="K12" s="5"/>
      <c r="L12" s="4">
        <v>130000</v>
      </c>
    </row>
    <row r="13" spans="1:12" x14ac:dyDescent="0.3">
      <c r="A13" s="3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x14ac:dyDescent="0.3">
      <c r="A14" s="3" t="s">
        <v>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x14ac:dyDescent="0.3">
      <c r="A15" s="3" t="s">
        <v>12</v>
      </c>
      <c r="B15" s="4">
        <v>500000</v>
      </c>
      <c r="C15" s="5"/>
      <c r="D15" s="4">
        <v>500000</v>
      </c>
      <c r="E15" s="5"/>
      <c r="F15" s="5"/>
      <c r="G15" s="5"/>
      <c r="H15" s="5"/>
      <c r="I15" s="5"/>
      <c r="J15" s="5"/>
      <c r="K15" s="5"/>
      <c r="L15" s="5"/>
    </row>
    <row r="16" spans="1:12" x14ac:dyDescent="0.3">
      <c r="A16" s="3" t="s">
        <v>13</v>
      </c>
      <c r="B16" s="5"/>
      <c r="C16" s="5"/>
      <c r="D16" s="5"/>
      <c r="E16" s="5"/>
      <c r="F16" s="5"/>
      <c r="G16" s="5"/>
      <c r="H16" s="5"/>
      <c r="I16" s="5"/>
      <c r="J16" s="4">
        <v>200000</v>
      </c>
      <c r="K16" s="5"/>
      <c r="L16" s="5"/>
    </row>
    <row r="17" spans="1:12" x14ac:dyDescent="0.3">
      <c r="A17" s="3" t="s">
        <v>14</v>
      </c>
      <c r="B17" s="5"/>
      <c r="C17" s="4">
        <v>200000</v>
      </c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3">
      <c r="A18" s="3" t="s">
        <v>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x14ac:dyDescent="0.3">
      <c r="A19" s="6" t="s">
        <v>16</v>
      </c>
      <c r="B19" s="7">
        <f t="shared" ref="B19:L19" si="2">SUM(B2:B18)</f>
        <v>4200117</v>
      </c>
      <c r="C19" s="7">
        <f t="shared" si="2"/>
        <v>5793765</v>
      </c>
      <c r="D19" s="7">
        <f t="shared" si="2"/>
        <v>5356071</v>
      </c>
      <c r="E19" s="7">
        <f t="shared" si="2"/>
        <v>9133821</v>
      </c>
      <c r="F19" s="7">
        <f t="shared" si="2"/>
        <v>12910571</v>
      </c>
      <c r="G19" s="7">
        <f t="shared" si="2"/>
        <v>14280571</v>
      </c>
      <c r="H19" s="7">
        <f t="shared" si="2"/>
        <v>14658571</v>
      </c>
      <c r="I19" s="7">
        <f t="shared" si="2"/>
        <v>10822371</v>
      </c>
      <c r="J19" s="7">
        <f t="shared" si="2"/>
        <v>8871284</v>
      </c>
      <c r="K19" s="7">
        <f t="shared" si="2"/>
        <v>10046284</v>
      </c>
      <c r="L19" s="7">
        <f t="shared" si="2"/>
        <v>10076284</v>
      </c>
    </row>
    <row r="20" spans="1:12" x14ac:dyDescent="0.3">
      <c r="A20" s="8" t="s">
        <v>17</v>
      </c>
      <c r="B20" s="9"/>
      <c r="C20" s="9"/>
      <c r="D20" s="9"/>
      <c r="E20" s="10">
        <v>1000000</v>
      </c>
      <c r="F20" s="10">
        <v>1000000</v>
      </c>
      <c r="G20" s="9"/>
      <c r="H20" s="10">
        <v>2000000</v>
      </c>
      <c r="I20" s="10">
        <v>2000000</v>
      </c>
      <c r="J20" s="9"/>
      <c r="K20" s="9"/>
      <c r="L20" s="9"/>
    </row>
    <row r="21" spans="1:12" x14ac:dyDescent="0.3">
      <c r="A21" s="8" t="s">
        <v>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3">
      <c r="A22" s="8" t="s">
        <v>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x14ac:dyDescent="0.3">
      <c r="A23" s="8" t="s">
        <v>8</v>
      </c>
      <c r="B23" s="11">
        <v>313850</v>
      </c>
      <c r="C23" s="11">
        <v>132250</v>
      </c>
      <c r="D23" s="11">
        <v>132250</v>
      </c>
      <c r="E23" s="11">
        <v>132250</v>
      </c>
      <c r="F23" s="11">
        <v>100000</v>
      </c>
      <c r="G23" s="9"/>
      <c r="H23" s="9"/>
      <c r="I23" s="9"/>
      <c r="J23" s="9"/>
      <c r="K23" s="9"/>
      <c r="L23" s="9"/>
    </row>
    <row r="24" spans="1:12" x14ac:dyDescent="0.3">
      <c r="A24" s="8" t="s">
        <v>18</v>
      </c>
      <c r="B24" s="11">
        <v>2978560</v>
      </c>
      <c r="C24" s="11">
        <v>5204892</v>
      </c>
      <c r="D24" s="9"/>
      <c r="E24" s="9"/>
      <c r="F24" s="9"/>
      <c r="G24" s="9"/>
      <c r="H24" s="9"/>
      <c r="I24" s="9"/>
      <c r="J24" s="9"/>
      <c r="K24" s="9"/>
      <c r="L24" s="9"/>
    </row>
    <row r="25" spans="1:12" x14ac:dyDescent="0.3">
      <c r="A25" s="8" t="s">
        <v>19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3">
      <c r="A26" s="8" t="s">
        <v>20</v>
      </c>
      <c r="B26" s="9"/>
      <c r="C26" s="9"/>
      <c r="D26" s="9"/>
      <c r="E26" s="9"/>
      <c r="F26" s="9"/>
      <c r="G26" s="9"/>
      <c r="H26" s="11">
        <v>2421200</v>
      </c>
      <c r="I26" s="11">
        <v>1210600</v>
      </c>
      <c r="J26" s="9"/>
      <c r="K26" s="9"/>
      <c r="L26" s="9"/>
    </row>
    <row r="27" spans="1:12" x14ac:dyDescent="0.3">
      <c r="A27" s="8" t="s">
        <v>21</v>
      </c>
      <c r="B27" s="9"/>
      <c r="C27" s="11">
        <v>115500</v>
      </c>
      <c r="D27" s="9"/>
      <c r="E27" s="9"/>
      <c r="F27" s="9"/>
      <c r="G27" s="11">
        <v>1500000</v>
      </c>
      <c r="H27" s="11">
        <v>700000</v>
      </c>
      <c r="I27" s="12">
        <v>115500</v>
      </c>
      <c r="J27" s="9"/>
      <c r="K27" s="9"/>
      <c r="L27" s="9"/>
    </row>
    <row r="28" spans="1:12" x14ac:dyDescent="0.3">
      <c r="A28" s="8" t="s">
        <v>22</v>
      </c>
      <c r="B28" s="11">
        <v>100000</v>
      </c>
      <c r="C28" s="11">
        <v>100000</v>
      </c>
      <c r="D28" s="11">
        <v>100000</v>
      </c>
      <c r="E28" s="11">
        <v>100000</v>
      </c>
      <c r="F28" s="11">
        <v>100000</v>
      </c>
      <c r="G28" s="11">
        <v>100000</v>
      </c>
      <c r="H28" s="11">
        <v>100000</v>
      </c>
      <c r="I28" s="11">
        <v>100000</v>
      </c>
      <c r="J28" s="11">
        <v>100000</v>
      </c>
      <c r="K28" s="11">
        <v>100000</v>
      </c>
      <c r="L28" s="11">
        <v>100000</v>
      </c>
    </row>
    <row r="29" spans="1:12" x14ac:dyDescent="0.3">
      <c r="A29" s="8" t="s">
        <v>23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3">
      <c r="A30" s="8" t="s">
        <v>24</v>
      </c>
      <c r="B30" s="11">
        <v>10000</v>
      </c>
      <c r="C30" s="11">
        <v>10000</v>
      </c>
      <c r="D30" s="11">
        <v>10000</v>
      </c>
      <c r="E30" s="11">
        <v>10000</v>
      </c>
      <c r="F30" s="11">
        <v>10000</v>
      </c>
      <c r="G30" s="11">
        <v>10000</v>
      </c>
      <c r="H30" s="9"/>
      <c r="I30" s="9"/>
      <c r="J30" s="9"/>
      <c r="K30" s="9"/>
      <c r="L30" s="9"/>
    </row>
    <row r="31" spans="1:12" x14ac:dyDescent="0.3">
      <c r="A31" s="8" t="s">
        <v>25</v>
      </c>
      <c r="B31" s="11">
        <v>35000</v>
      </c>
      <c r="C31" s="11">
        <v>35000</v>
      </c>
      <c r="D31" s="11">
        <v>35000</v>
      </c>
      <c r="E31" s="11">
        <v>35000</v>
      </c>
      <c r="F31" s="11">
        <v>35000</v>
      </c>
      <c r="G31" s="11">
        <v>35000</v>
      </c>
      <c r="H31" s="9"/>
      <c r="I31" s="9"/>
      <c r="J31" s="9"/>
      <c r="K31" s="9"/>
      <c r="L31" s="9"/>
    </row>
    <row r="32" spans="1:12" x14ac:dyDescent="0.3">
      <c r="A32" s="8" t="s">
        <v>26</v>
      </c>
      <c r="B32" s="11">
        <v>32000</v>
      </c>
      <c r="C32" s="9"/>
      <c r="D32" s="9"/>
      <c r="E32" s="9"/>
      <c r="F32" s="9"/>
      <c r="G32" s="11">
        <v>102000</v>
      </c>
      <c r="H32" s="9"/>
      <c r="I32" s="9"/>
      <c r="J32" s="9"/>
      <c r="K32" s="9"/>
      <c r="L32" s="9"/>
    </row>
    <row r="33" spans="1:12" x14ac:dyDescent="0.3">
      <c r="A33" s="8" t="s">
        <v>27</v>
      </c>
      <c r="B33" s="9"/>
      <c r="C33" s="9"/>
      <c r="D33" s="9"/>
      <c r="E33" s="11">
        <v>250000</v>
      </c>
      <c r="F33" s="9"/>
      <c r="G33" s="9"/>
      <c r="H33" s="9"/>
      <c r="I33" s="9"/>
      <c r="J33" s="9"/>
      <c r="K33" s="9"/>
      <c r="L33" s="9"/>
    </row>
    <row r="34" spans="1:12" x14ac:dyDescent="0.3">
      <c r="A34" s="8" t="s">
        <v>28</v>
      </c>
      <c r="B34" s="9"/>
      <c r="C34" s="9"/>
      <c r="D34" s="9"/>
      <c r="E34" s="9"/>
      <c r="F34" s="9"/>
      <c r="G34" s="11">
        <v>425000</v>
      </c>
      <c r="H34" s="9"/>
      <c r="I34" s="9"/>
      <c r="J34" s="9"/>
      <c r="K34" s="9"/>
      <c r="L34" s="9"/>
    </row>
    <row r="35" spans="1:12" x14ac:dyDescent="0.3">
      <c r="A35" s="8" t="s">
        <v>29</v>
      </c>
      <c r="B35" s="9"/>
      <c r="C35" s="9"/>
      <c r="D35" s="9"/>
      <c r="E35" s="9"/>
      <c r="F35" s="11">
        <v>300000</v>
      </c>
      <c r="G35" s="9"/>
      <c r="H35" s="9"/>
      <c r="I35" s="9"/>
      <c r="J35" s="9"/>
      <c r="K35" s="9"/>
      <c r="L35" s="9"/>
    </row>
    <row r="36" spans="1:12" x14ac:dyDescent="0.3">
      <c r="A36" s="8" t="s">
        <v>30</v>
      </c>
      <c r="B36" s="9"/>
      <c r="C36" s="9"/>
      <c r="D36" s="9"/>
      <c r="E36" s="11">
        <v>46000</v>
      </c>
      <c r="F36" s="9"/>
      <c r="G36" s="9"/>
      <c r="H36" s="9"/>
      <c r="I36" s="9"/>
      <c r="J36" s="9"/>
      <c r="K36" s="9"/>
      <c r="L36" s="9"/>
    </row>
    <row r="37" spans="1:12" x14ac:dyDescent="0.3">
      <c r="A37" s="8" t="s">
        <v>31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x14ac:dyDescent="0.3">
      <c r="A38" s="8" t="s">
        <v>32</v>
      </c>
      <c r="B38" s="11">
        <v>200000</v>
      </c>
      <c r="C38" s="9"/>
      <c r="D38" s="9"/>
      <c r="E38" s="9"/>
      <c r="F38" s="9"/>
      <c r="G38" s="9"/>
      <c r="H38" s="11">
        <v>200000</v>
      </c>
      <c r="I38" s="9"/>
      <c r="J38" s="9"/>
      <c r="K38" s="9"/>
      <c r="L38" s="9"/>
    </row>
    <row r="39" spans="1:12" x14ac:dyDescent="0.3">
      <c r="A39" s="8" t="s">
        <v>33</v>
      </c>
      <c r="B39" s="9"/>
      <c r="C39" s="9"/>
      <c r="D39" s="9"/>
      <c r="E39" s="11">
        <v>275000</v>
      </c>
      <c r="F39" s="9"/>
      <c r="G39" s="9"/>
      <c r="H39" s="9"/>
      <c r="I39" s="9"/>
      <c r="J39" s="9"/>
      <c r="K39" s="9"/>
      <c r="L39" s="9"/>
    </row>
    <row r="40" spans="1:12" x14ac:dyDescent="0.3">
      <c r="A40" s="8" t="s">
        <v>34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400000</v>
      </c>
    </row>
    <row r="41" spans="1:12" x14ac:dyDescent="0.3">
      <c r="A41" s="8" t="s">
        <v>35</v>
      </c>
      <c r="B41" s="9"/>
      <c r="C41" s="9"/>
      <c r="D41" s="9"/>
      <c r="E41" s="9"/>
      <c r="F41" s="9"/>
      <c r="G41" s="11">
        <v>185000</v>
      </c>
      <c r="H41" s="9"/>
      <c r="I41" s="9"/>
      <c r="J41" s="9"/>
      <c r="K41" s="9"/>
      <c r="L41" s="9"/>
    </row>
    <row r="42" spans="1:12" x14ac:dyDescent="0.3">
      <c r="A42" s="8" t="s">
        <v>36</v>
      </c>
      <c r="B42" s="9"/>
      <c r="C42" s="9"/>
      <c r="D42" s="9"/>
      <c r="E42" s="11">
        <v>100000</v>
      </c>
      <c r="F42" s="9"/>
      <c r="G42" s="9"/>
      <c r="H42" s="9"/>
      <c r="I42" s="9"/>
      <c r="J42" s="9"/>
      <c r="K42" s="9"/>
      <c r="L42" s="9"/>
    </row>
    <row r="43" spans="1:12" x14ac:dyDescent="0.3">
      <c r="A43" s="8" t="s">
        <v>37</v>
      </c>
      <c r="B43" s="11">
        <v>5000</v>
      </c>
      <c r="C43" s="11">
        <v>5000</v>
      </c>
      <c r="D43" s="11">
        <v>5000</v>
      </c>
      <c r="E43" s="11">
        <v>5000</v>
      </c>
      <c r="F43" s="11">
        <v>5000</v>
      </c>
      <c r="G43" s="11">
        <v>5000</v>
      </c>
      <c r="H43" s="11">
        <v>5000</v>
      </c>
      <c r="I43" s="11">
        <v>5000</v>
      </c>
      <c r="J43" s="11">
        <v>5000</v>
      </c>
      <c r="K43" s="9"/>
      <c r="L43" s="9"/>
    </row>
    <row r="44" spans="1:12" ht="15" thickBot="1" x14ac:dyDescent="0.35">
      <c r="A44" s="13" t="s">
        <v>38</v>
      </c>
      <c r="B44" s="14">
        <f>SUM(B20:B43)</f>
        <v>3674410</v>
      </c>
      <c r="C44" s="14">
        <f t="shared" ref="C44:L44" si="3">SUM(C20:C43)</f>
        <v>5602642</v>
      </c>
      <c r="D44" s="14">
        <f t="shared" si="3"/>
        <v>282250</v>
      </c>
      <c r="E44" s="14">
        <f t="shared" si="3"/>
        <v>1953250</v>
      </c>
      <c r="F44" s="14">
        <f t="shared" si="3"/>
        <v>1550000</v>
      </c>
      <c r="G44" s="14">
        <f t="shared" si="3"/>
        <v>2362000</v>
      </c>
      <c r="H44" s="14">
        <f t="shared" si="3"/>
        <v>5426200</v>
      </c>
      <c r="I44" s="14">
        <f t="shared" si="3"/>
        <v>3431100</v>
      </c>
      <c r="J44" s="14">
        <f t="shared" si="3"/>
        <v>105000</v>
      </c>
      <c r="K44" s="14">
        <f t="shared" si="3"/>
        <v>100000</v>
      </c>
      <c r="L44" s="14">
        <f t="shared" si="3"/>
        <v>500000</v>
      </c>
    </row>
    <row r="46" spans="1:12" x14ac:dyDescent="0.3">
      <c r="A46" s="15" t="s">
        <v>39</v>
      </c>
      <c r="B46" s="16">
        <f>B19-B44</f>
        <v>525707</v>
      </c>
      <c r="C46" s="16">
        <f t="shared" ref="C46:L46" si="4">C19-C44</f>
        <v>191123</v>
      </c>
      <c r="D46" s="16">
        <f t="shared" si="4"/>
        <v>5073821</v>
      </c>
      <c r="E46" s="16">
        <f t="shared" si="4"/>
        <v>7180571</v>
      </c>
      <c r="F46" s="16">
        <f t="shared" si="4"/>
        <v>11360571</v>
      </c>
      <c r="G46" s="16">
        <f t="shared" si="4"/>
        <v>11918571</v>
      </c>
      <c r="H46" s="16">
        <f t="shared" si="4"/>
        <v>9232371</v>
      </c>
      <c r="I46" s="16">
        <f t="shared" si="4"/>
        <v>7391271</v>
      </c>
      <c r="J46" s="16">
        <f t="shared" si="4"/>
        <v>8766284</v>
      </c>
      <c r="K46" s="16">
        <f t="shared" si="4"/>
        <v>9946284</v>
      </c>
      <c r="L46" s="16">
        <f t="shared" si="4"/>
        <v>9576284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2026-08-15T17:14:57Z</dcterms:created>
  <dcterms:modified xsi:type="dcterms:W3CDTF">2026-08-18T02:21:04Z</dcterms:modified>
</cp:coreProperties>
</file>