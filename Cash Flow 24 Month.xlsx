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سدرة الخير\Hub Project Data\"/>
    </mc:Choice>
  </mc:AlternateContent>
  <xr:revisionPtr revIDLastSave="0" documentId="13_ncr:1_{08E25DC2-DB24-424F-AACC-9E0FBE2B7350}" xr6:coauthVersionLast="47" xr6:coauthVersionMax="47" xr10:uidLastSave="{00000000-0000-0000-0000-000000000000}"/>
  <bookViews>
    <workbookView xWindow="-108" yWindow="-108" windowWidth="23256" windowHeight="13896" xr2:uid="{CB791584-A06D-4D2A-A996-547D16A53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4" i="1" l="1"/>
  <c r="Y44" i="1"/>
  <c r="X44" i="1"/>
  <c r="W44" i="1"/>
  <c r="V44" i="1"/>
  <c r="U44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T44" i="1" l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C19" i="1"/>
  <c r="C46" i="1" l="1"/>
  <c r="D2" i="1" s="1"/>
  <c r="D19" i="1" s="1"/>
  <c r="D46" i="1" s="1"/>
  <c r="E2" i="1" s="1"/>
  <c r="E19" i="1" s="1"/>
  <c r="E46" i="1" s="1"/>
  <c r="F2" i="1" s="1"/>
  <c r="F19" i="1" s="1"/>
  <c r="F46" i="1" s="1"/>
  <c r="G2" i="1" s="1"/>
  <c r="G19" i="1" s="1"/>
  <c r="G46" i="1" s="1"/>
  <c r="H2" i="1" s="1"/>
  <c r="H19" i="1" s="1"/>
  <c r="H46" i="1" s="1"/>
  <c r="I2" i="1" s="1"/>
  <c r="I19" i="1" s="1"/>
  <c r="I46" i="1" s="1"/>
  <c r="J2" i="1" s="1"/>
  <c r="J19" i="1" s="1"/>
  <c r="J46" i="1" s="1"/>
  <c r="K2" i="1" s="1"/>
  <c r="K19" i="1" s="1"/>
  <c r="K46" i="1" s="1"/>
  <c r="L2" i="1" s="1"/>
  <c r="L19" i="1" s="1"/>
  <c r="L46" i="1" s="1"/>
  <c r="M2" i="1" s="1"/>
  <c r="M19" i="1" s="1"/>
  <c r="M46" i="1" s="1"/>
  <c r="N2" i="1" s="1"/>
  <c r="N19" i="1" s="1"/>
  <c r="N46" i="1" s="1"/>
  <c r="O2" i="1" s="1"/>
  <c r="O19" i="1" s="1"/>
  <c r="O46" i="1" s="1"/>
  <c r="P2" i="1" s="1"/>
  <c r="P19" i="1" s="1"/>
  <c r="P46" i="1" s="1"/>
  <c r="Q2" i="1" s="1"/>
  <c r="Q19" i="1" s="1"/>
  <c r="Q46" i="1" s="1"/>
  <c r="R2" i="1" s="1"/>
  <c r="R19" i="1" s="1"/>
  <c r="R46" i="1" s="1"/>
  <c r="S2" i="1" s="1"/>
  <c r="S19" i="1" s="1"/>
  <c r="S46" i="1" s="1"/>
  <c r="T2" i="1" s="1"/>
  <c r="T19" i="1" s="1"/>
  <c r="T46" i="1" s="1"/>
  <c r="U2" i="1" s="1"/>
  <c r="U19" i="1" s="1"/>
  <c r="U46" i="1" s="1"/>
  <c r="V2" i="1" s="1"/>
  <c r="V19" i="1" s="1"/>
  <c r="V46" i="1" s="1"/>
  <c r="W2" i="1" s="1"/>
  <c r="W19" i="1" s="1"/>
  <c r="W46" i="1" s="1"/>
  <c r="X2" i="1" s="1"/>
  <c r="X19" i="1" s="1"/>
  <c r="X46" i="1" s="1"/>
  <c r="Y2" i="1" s="1"/>
  <c r="Y19" i="1" s="1"/>
  <c r="Y46" i="1" s="1"/>
  <c r="Z2" i="1" l="1"/>
  <c r="Z19" i="1" s="1"/>
  <c r="Z46" i="1" s="1"/>
</calcChain>
</file>

<file path=xl/sharedStrings.xml><?xml version="1.0" encoding="utf-8"?>
<sst xmlns="http://schemas.openxmlformats.org/spreadsheetml/2006/main" count="44" uniqueCount="41">
  <si>
    <t>Cash beginning of period</t>
  </si>
  <si>
    <t>بنك الراجحي</t>
  </si>
  <si>
    <t>البنك الأهلي</t>
  </si>
  <si>
    <t>أبو القاسم</t>
  </si>
  <si>
    <t>أبو ديما</t>
  </si>
  <si>
    <t>الايجارات</t>
  </si>
  <si>
    <t>الرمال</t>
  </si>
  <si>
    <t>العليا 2</t>
  </si>
  <si>
    <t>العليا 3</t>
  </si>
  <si>
    <t>العليا 4</t>
  </si>
  <si>
    <t>VAT</t>
  </si>
  <si>
    <t>مساهمين</t>
  </si>
  <si>
    <t>تمويلات</t>
  </si>
  <si>
    <t>الجمال</t>
  </si>
  <si>
    <t>مبلغ مستحق ابو نوره</t>
  </si>
  <si>
    <t>العريفي</t>
  </si>
  <si>
    <t>اخرى</t>
  </si>
  <si>
    <t>CASH IN</t>
  </si>
  <si>
    <t>تصفية مساهمين</t>
  </si>
  <si>
    <t>سداد تمويل دينار العقد الأول</t>
  </si>
  <si>
    <t>سداد تمويل دينار العقد الثاني</t>
  </si>
  <si>
    <t>سداد تمويل دينار العقد 3</t>
  </si>
  <si>
    <t>سداد تمويل املاك</t>
  </si>
  <si>
    <t>Salaries</t>
  </si>
  <si>
    <t>Vendors</t>
  </si>
  <si>
    <t>مصروفات صيانة</t>
  </si>
  <si>
    <t>مصروفات كهرباء ومياه</t>
  </si>
  <si>
    <t>ايجار المكتب</t>
  </si>
  <si>
    <t>ابجار فلل المرسلات</t>
  </si>
  <si>
    <t>ايجار العارض</t>
  </si>
  <si>
    <t>ايجار الدرعية</t>
  </si>
  <si>
    <t>ايجار السويدي</t>
  </si>
  <si>
    <t>ايجار الملقا</t>
  </si>
  <si>
    <t>ايجار عمارة النزهة</t>
  </si>
  <si>
    <t>ايجار النرجس</t>
  </si>
  <si>
    <t>ايجار الياسمين</t>
  </si>
  <si>
    <t>ايجار فيلا الندي</t>
  </si>
  <si>
    <t>ايجار فيلا النزهة</t>
  </si>
  <si>
    <t>Others</t>
  </si>
  <si>
    <t>Cash out</t>
  </si>
  <si>
    <t>Cash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</si>
</sst>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u/>
      <sz val="11"/>
      <color rgb="FFF2F7FC"/>
      <name val="Calibri"/>
      <family val="2"/>
    </font>
    <font>
      <b/>
      <sz val="9"/>
      <color rgb="FFF2F7FC"/>
      <name val="Calibri"/>
      <family val="2"/>
    </font>
    <font>
      <b/>
      <sz val="11"/>
      <color rgb="FF006100"/>
      <name val="Calibri"/>
      <family val="2"/>
    </font>
    <font>
      <b/>
      <sz val="9"/>
      <color rgb="FF0061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2060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rgb="FF002060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rgb="FF002060"/>
      </left>
      <right style="hair">
        <color theme="1" tint="0.499984740745262"/>
      </right>
      <top style="hair">
        <color theme="1" tint="0.499984740745262"/>
      </top>
      <bottom style="medium">
        <color rgb="FF00206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rgb="FF002060"/>
      </bottom>
      <diagonal/>
    </border>
    <border>
      <left style="hair">
        <color theme="1" tint="0.499984740745262"/>
      </left>
      <right style="medium">
        <color rgb="FF002060"/>
      </right>
      <top style="hair">
        <color theme="1" tint="0.499984740745262"/>
      </top>
      <bottom style="medium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3" borderId="2" xfId="1" applyNumberFormat="1" applyFont="1" applyFill="1" applyBorder="1" applyAlignment="1">
      <alignment horizontal="center"/>
    </xf>
    <xf numFmtId="164" fontId="7" fillId="3" borderId="2" xfId="1" applyNumberFormat="1" applyFont="1" applyFill="1" applyBorder="1" applyAlignment="1"/>
    <xf numFmtId="164" fontId="7" fillId="3" borderId="3" xfId="1" applyNumberFormat="1" applyFont="1" applyFill="1" applyBorder="1" applyAlignment="1"/>
    <xf numFmtId="0" fontId="8" fillId="4" borderId="1" xfId="0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7" fillId="5" borderId="2" xfId="1" applyNumberFormat="1" applyFont="1" applyFill="1" applyBorder="1" applyAlignment="1"/>
    <xf numFmtId="164" fontId="9" fillId="5" borderId="2" xfId="1" applyNumberFormat="1" applyFont="1" applyFill="1" applyBorder="1" applyAlignment="1">
      <alignment horizontal="center"/>
    </xf>
    <xf numFmtId="164" fontId="7" fillId="5" borderId="3" xfId="1" applyNumberFormat="1" applyFont="1" applyFill="1" applyBorder="1" applyAlignment="1"/>
    <xf numFmtId="164" fontId="6" fillId="5" borderId="2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right"/>
    </xf>
    <xf numFmtId="164" fontId="6" fillId="5" borderId="3" xfId="1" applyNumberFormat="1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164" fontId="11" fillId="6" borderId="5" xfId="1" applyNumberFormat="1" applyFont="1" applyFill="1" applyBorder="1" applyAlignment="1">
      <alignment horizontal="center"/>
    </xf>
    <xf numFmtId="164" fontId="11" fillId="6" borderId="6" xfId="1" applyNumberFormat="1" applyFont="1" applyFill="1" applyBorder="1" applyAlignment="1">
      <alignment horizontal="center"/>
    </xf>
    <xf numFmtId="0" fontId="12" fillId="7" borderId="0" xfId="0" applyFont="1" applyFill="1" applyAlignment="1">
      <alignment horizontal="left"/>
    </xf>
    <xf numFmtId="3" fontId="13" fillId="7" borderId="0" xfId="0" applyNumberFormat="1" applyFont="1" applyFill="1" applyAlignment="1">
      <alignment horizontal="center"/>
    </xf>
    <xf numFmtId="0" fontId="2" fillId="8" borderId="0" xfId="0" applyFont="1" applyFill="1"/>
    <xf numFmtId="17" fontId="2" fillId="8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B7F5-5F2A-406E-9797-3DA7F5C46C92}">
  <dimension ref="B1:Z46"/>
  <sheetViews>
    <sheetView tabSelected="1" zoomScale="80" zoomScaleNormal="80" workbookViewId="0">
      <selection activeCell="D4" sqref="D4"/>
    </sheetView>
  </sheetViews>
  <sheetFormatPr defaultRowHeight="14.4" x14ac:dyDescent="0.3"/>
  <cols>
    <col min="1" max="1" width="1.88671875" customWidth="1"/>
    <col min="2" max="2" width="23.6640625" bestFit="1" customWidth="1"/>
    <col min="3" max="6" width="8.88671875" bestFit="1" customWidth="1"/>
    <col min="7" max="10" width="9.77734375" bestFit="1" customWidth="1"/>
    <col min="11" max="11" width="8.88671875" bestFit="1" customWidth="1"/>
    <col min="12" max="13" width="9.77734375" bestFit="1" customWidth="1"/>
    <col min="14" max="26" width="8.88671875" bestFit="1" customWidth="1"/>
  </cols>
  <sheetData>
    <row r="1" spans="2:26" x14ac:dyDescent="0.3">
      <c r="B1" s="23"/>
      <c r="C1" s="24">
        <v>46265</v>
      </c>
      <c r="D1" s="24">
        <f>EOMONTH(C1,1)</f>
        <v>46295</v>
      </c>
      <c r="E1" s="24">
        <f t="shared" ref="E1:Z1" si="0">EOMONTH(D1,1)</f>
        <v>46326</v>
      </c>
      <c r="F1" s="24">
        <f t="shared" si="0"/>
        <v>46356</v>
      </c>
      <c r="G1" s="24">
        <f t="shared" si="0"/>
        <v>46387</v>
      </c>
      <c r="H1" s="24">
        <f t="shared" si="0"/>
        <v>46418</v>
      </c>
      <c r="I1" s="24">
        <f t="shared" si="0"/>
        <v>46446</v>
      </c>
      <c r="J1" s="24">
        <f t="shared" si="0"/>
        <v>46477</v>
      </c>
      <c r="K1" s="24">
        <f t="shared" si="0"/>
        <v>46507</v>
      </c>
      <c r="L1" s="24">
        <f t="shared" si="0"/>
        <v>46538</v>
      </c>
      <c r="M1" s="24">
        <f t="shared" si="0"/>
        <v>46568</v>
      </c>
      <c r="N1" s="24">
        <f t="shared" si="0"/>
        <v>46599</v>
      </c>
      <c r="O1" s="24">
        <f t="shared" si="0"/>
        <v>46630</v>
      </c>
      <c r="P1" s="24">
        <f t="shared" si="0"/>
        <v>46660</v>
      </c>
      <c r="Q1" s="24">
        <f t="shared" si="0"/>
        <v>46691</v>
      </c>
      <c r="R1" s="24">
        <f t="shared" si="0"/>
        <v>46721</v>
      </c>
      <c r="S1" s="24">
        <f t="shared" si="0"/>
        <v>46752</v>
      </c>
      <c r="T1" s="24">
        <f t="shared" si="0"/>
        <v>46783</v>
      </c>
      <c r="U1" s="24">
        <f t="shared" si="0"/>
        <v>46812</v>
      </c>
      <c r="V1" s="24">
        <f t="shared" si="0"/>
        <v>46843</v>
      </c>
      <c r="W1" s="24">
        <f t="shared" si="0"/>
        <v>46873</v>
      </c>
      <c r="X1" s="24">
        <f t="shared" si="0"/>
        <v>46904</v>
      </c>
      <c r="Y1" s="24">
        <f t="shared" si="0"/>
        <v>46934</v>
      </c>
      <c r="Z1" s="24">
        <f t="shared" si="0"/>
        <v>46965</v>
      </c>
    </row>
    <row r="2" spans="2:26" x14ac:dyDescent="0.3">
      <c r="B2" s="1" t="s">
        <v>0</v>
      </c>
      <c r="C2" s="2">
        <v>0</v>
      </c>
      <c r="D2" s="2">
        <f>C46</f>
        <v>525707</v>
      </c>
      <c r="E2" s="2">
        <f t="shared" ref="E2:Y2" si="1">D46</f>
        <v>191123</v>
      </c>
      <c r="F2" s="2">
        <f t="shared" si="1"/>
        <v>5073821</v>
      </c>
      <c r="G2" s="2">
        <f t="shared" si="1"/>
        <v>7180571</v>
      </c>
      <c r="H2" s="2">
        <f t="shared" si="1"/>
        <v>11360571</v>
      </c>
      <c r="I2" s="2">
        <f t="shared" si="1"/>
        <v>11918571</v>
      </c>
      <c r="J2" s="2">
        <f t="shared" si="1"/>
        <v>9232371</v>
      </c>
      <c r="K2" s="2">
        <f t="shared" si="1"/>
        <v>7391271</v>
      </c>
      <c r="L2" s="2">
        <f t="shared" si="1"/>
        <v>8766284</v>
      </c>
      <c r="M2" s="2">
        <f t="shared" si="1"/>
        <v>9946284</v>
      </c>
      <c r="N2" s="2">
        <f t="shared" si="1"/>
        <v>9576284</v>
      </c>
      <c r="O2" s="2">
        <f t="shared" si="1"/>
        <v>9476284</v>
      </c>
      <c r="P2" s="2">
        <f t="shared" si="1"/>
        <v>9376284</v>
      </c>
      <c r="Q2" s="2">
        <f t="shared" si="1"/>
        <v>9276284</v>
      </c>
      <c r="R2" s="2">
        <f t="shared" si="1"/>
        <v>9176284</v>
      </c>
      <c r="S2" s="2">
        <f t="shared" si="1"/>
        <v>9076284</v>
      </c>
      <c r="T2" s="2">
        <f t="shared" si="1"/>
        <v>8976284</v>
      </c>
      <c r="U2" s="2">
        <f t="shared" si="1"/>
        <v>8876284</v>
      </c>
      <c r="V2" s="2">
        <f t="shared" si="1"/>
        <v>8776284</v>
      </c>
      <c r="W2" s="2">
        <f t="shared" si="1"/>
        <v>8676284</v>
      </c>
      <c r="X2" s="2">
        <f t="shared" si="1"/>
        <v>8576284</v>
      </c>
      <c r="Y2" s="2">
        <f t="shared" si="1"/>
        <v>8476284</v>
      </c>
      <c r="Z2" s="3">
        <f t="shared" ref="Z2" si="2">Y46</f>
        <v>8376284</v>
      </c>
    </row>
    <row r="3" spans="2:26" x14ac:dyDescent="0.3">
      <c r="B3" s="4" t="s">
        <v>1</v>
      </c>
      <c r="C3" s="5">
        <v>55000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spans="2:26" x14ac:dyDescent="0.3">
      <c r="B4" s="4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2:26" x14ac:dyDescent="0.3">
      <c r="B5" s="4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spans="2:26" x14ac:dyDescent="0.3">
      <c r="B6" s="4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spans="2:26" x14ac:dyDescent="0.3">
      <c r="B7" s="4" t="s">
        <v>5</v>
      </c>
      <c r="C7" s="5">
        <v>125117</v>
      </c>
      <c r="D7" s="5">
        <v>268058</v>
      </c>
      <c r="E7" s="5">
        <v>294948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2:26" x14ac:dyDescent="0.3">
      <c r="B8" s="4" t="s">
        <v>6</v>
      </c>
      <c r="C8" s="6"/>
      <c r="D8" s="6"/>
      <c r="E8" s="5">
        <v>1250000</v>
      </c>
      <c r="F8" s="5">
        <v>1250000</v>
      </c>
      <c r="G8" s="5">
        <v>2500000</v>
      </c>
      <c r="H8" s="6"/>
      <c r="I8" s="6"/>
      <c r="J8" s="6"/>
      <c r="K8" s="5">
        <v>13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spans="2:26" x14ac:dyDescent="0.3">
      <c r="B9" s="4" t="s">
        <v>7</v>
      </c>
      <c r="C9" s="5">
        <v>3520000</v>
      </c>
      <c r="D9" s="5">
        <v>3160000</v>
      </c>
      <c r="E9" s="5">
        <v>1350000</v>
      </c>
      <c r="F9" s="5">
        <v>1350000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spans="2:26" x14ac:dyDescent="0.3">
      <c r="B10" s="4" t="s">
        <v>8</v>
      </c>
      <c r="C10" s="6"/>
      <c r="D10" s="5">
        <v>1640000</v>
      </c>
      <c r="E10" s="5">
        <v>1640000</v>
      </c>
      <c r="F10" s="5">
        <v>1460000</v>
      </c>
      <c r="G10" s="5">
        <v>1460000</v>
      </c>
      <c r="H10" s="5">
        <v>1280000</v>
      </c>
      <c r="I10" s="5">
        <v>1280000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spans="2:26" x14ac:dyDescent="0.3">
      <c r="B11" s="4" t="s">
        <v>9</v>
      </c>
      <c r="C11" s="6"/>
      <c r="D11" s="6"/>
      <c r="E11" s="6"/>
      <c r="F11" s="6"/>
      <c r="G11" s="5">
        <v>1640000</v>
      </c>
      <c r="H11" s="5">
        <v>1640000</v>
      </c>
      <c r="I11" s="5">
        <v>1460000</v>
      </c>
      <c r="J11" s="5">
        <v>1460000</v>
      </c>
      <c r="K11" s="5">
        <v>1280000</v>
      </c>
      <c r="L11" s="5">
        <v>1280000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spans="2:26" x14ac:dyDescent="0.3">
      <c r="B12" s="4" t="s">
        <v>10</v>
      </c>
      <c r="C12" s="6"/>
      <c r="D12" s="6"/>
      <c r="E12" s="5">
        <v>130000</v>
      </c>
      <c r="F12" s="6"/>
      <c r="G12" s="5">
        <v>130000</v>
      </c>
      <c r="H12" s="6"/>
      <c r="I12" s="6"/>
      <c r="J12" s="5">
        <v>130000</v>
      </c>
      <c r="K12" s="6"/>
      <c r="L12" s="6"/>
      <c r="M12" s="5">
        <v>130000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spans="2:26" x14ac:dyDescent="0.3">
      <c r="B13" s="4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spans="2:26" x14ac:dyDescent="0.3">
      <c r="B14" s="4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2:26" x14ac:dyDescent="0.3">
      <c r="B15" s="4" t="s">
        <v>13</v>
      </c>
      <c r="C15" s="5">
        <v>500000</v>
      </c>
      <c r="D15" s="6"/>
      <c r="E15" s="5">
        <v>500000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spans="2:26" x14ac:dyDescent="0.3"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5">
        <v>200000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spans="2:26" x14ac:dyDescent="0.3">
      <c r="B17" s="4" t="s">
        <v>15</v>
      </c>
      <c r="C17" s="6"/>
      <c r="D17" s="5">
        <v>200000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2:26" x14ac:dyDescent="0.3">
      <c r="B18" s="4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2:26" x14ac:dyDescent="0.3">
      <c r="B19" s="8" t="s">
        <v>17</v>
      </c>
      <c r="C19" s="9">
        <f t="shared" ref="C19:T19" si="3">SUM(C2:C18)</f>
        <v>4200117</v>
      </c>
      <c r="D19" s="9">
        <f t="shared" si="3"/>
        <v>5793765</v>
      </c>
      <c r="E19" s="9">
        <f t="shared" si="3"/>
        <v>5356071</v>
      </c>
      <c r="F19" s="9">
        <f t="shared" si="3"/>
        <v>9133821</v>
      </c>
      <c r="G19" s="9">
        <f t="shared" si="3"/>
        <v>12910571</v>
      </c>
      <c r="H19" s="9">
        <f t="shared" si="3"/>
        <v>14280571</v>
      </c>
      <c r="I19" s="9">
        <f t="shared" si="3"/>
        <v>14658571</v>
      </c>
      <c r="J19" s="9">
        <f t="shared" si="3"/>
        <v>10822371</v>
      </c>
      <c r="K19" s="9">
        <f t="shared" si="3"/>
        <v>8871284</v>
      </c>
      <c r="L19" s="9">
        <f t="shared" si="3"/>
        <v>10046284</v>
      </c>
      <c r="M19" s="9">
        <f t="shared" si="3"/>
        <v>10076284</v>
      </c>
      <c r="N19" s="9">
        <f t="shared" si="3"/>
        <v>9576284</v>
      </c>
      <c r="O19" s="9">
        <f t="shared" si="3"/>
        <v>9476284</v>
      </c>
      <c r="P19" s="9">
        <f t="shared" si="3"/>
        <v>9376284</v>
      </c>
      <c r="Q19" s="9">
        <f t="shared" si="3"/>
        <v>9276284</v>
      </c>
      <c r="R19" s="9">
        <f t="shared" si="3"/>
        <v>9176284</v>
      </c>
      <c r="S19" s="9">
        <f t="shared" si="3"/>
        <v>9076284</v>
      </c>
      <c r="T19" s="9">
        <f t="shared" si="3"/>
        <v>8976284</v>
      </c>
      <c r="U19" s="9">
        <f t="shared" ref="U19:Z19" si="4">SUM(U2:U18)</f>
        <v>8876284</v>
      </c>
      <c r="V19" s="9">
        <f t="shared" si="4"/>
        <v>8776284</v>
      </c>
      <c r="W19" s="9">
        <f t="shared" si="4"/>
        <v>8676284</v>
      </c>
      <c r="X19" s="9">
        <f t="shared" si="4"/>
        <v>8576284</v>
      </c>
      <c r="Y19" s="9">
        <f t="shared" si="4"/>
        <v>8476284</v>
      </c>
      <c r="Z19" s="10">
        <f t="shared" si="4"/>
        <v>8376284</v>
      </c>
    </row>
    <row r="20" spans="2:26" x14ac:dyDescent="0.3">
      <c r="B20" s="11" t="s">
        <v>18</v>
      </c>
      <c r="C20" s="12"/>
      <c r="D20" s="12"/>
      <c r="E20" s="12"/>
      <c r="F20" s="13">
        <v>1000000</v>
      </c>
      <c r="G20" s="13">
        <v>1000000</v>
      </c>
      <c r="H20" s="12"/>
      <c r="I20" s="13">
        <v>2000000</v>
      </c>
      <c r="J20" s="13">
        <v>2000000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4"/>
    </row>
    <row r="21" spans="2:26" x14ac:dyDescent="0.3">
      <c r="B21" s="11" t="s">
        <v>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4"/>
    </row>
    <row r="22" spans="2:26" x14ac:dyDescent="0.3">
      <c r="B22" s="11" t="s">
        <v>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4"/>
    </row>
    <row r="23" spans="2:26" x14ac:dyDescent="0.3">
      <c r="B23" s="11" t="s">
        <v>9</v>
      </c>
      <c r="C23" s="15">
        <v>313850</v>
      </c>
      <c r="D23" s="15">
        <v>132250</v>
      </c>
      <c r="E23" s="15">
        <v>132250</v>
      </c>
      <c r="F23" s="15">
        <v>132250</v>
      </c>
      <c r="G23" s="15">
        <v>100000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4"/>
    </row>
    <row r="24" spans="2:26" x14ac:dyDescent="0.3">
      <c r="B24" s="11" t="s">
        <v>19</v>
      </c>
      <c r="C24" s="15">
        <v>2978560</v>
      </c>
      <c r="D24" s="15">
        <v>5204892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4"/>
    </row>
    <row r="25" spans="2:26" x14ac:dyDescent="0.3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4"/>
    </row>
    <row r="26" spans="2:26" x14ac:dyDescent="0.3">
      <c r="B26" s="11" t="s">
        <v>21</v>
      </c>
      <c r="C26" s="12"/>
      <c r="D26" s="12"/>
      <c r="E26" s="12"/>
      <c r="F26" s="12"/>
      <c r="G26" s="12"/>
      <c r="H26" s="12"/>
      <c r="I26" s="15">
        <v>2421200</v>
      </c>
      <c r="J26" s="15">
        <v>1210600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4"/>
    </row>
    <row r="27" spans="2:26" x14ac:dyDescent="0.3">
      <c r="B27" s="11" t="s">
        <v>22</v>
      </c>
      <c r="C27" s="12"/>
      <c r="D27" s="15">
        <v>115500</v>
      </c>
      <c r="E27" s="12"/>
      <c r="F27" s="12"/>
      <c r="G27" s="12"/>
      <c r="H27" s="15">
        <v>1500000</v>
      </c>
      <c r="I27" s="15">
        <v>700000</v>
      </c>
      <c r="J27" s="16">
        <v>115500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4"/>
    </row>
    <row r="28" spans="2:26" x14ac:dyDescent="0.3">
      <c r="B28" s="11" t="s">
        <v>23</v>
      </c>
      <c r="C28" s="15">
        <v>100000</v>
      </c>
      <c r="D28" s="15">
        <v>100000</v>
      </c>
      <c r="E28" s="15">
        <v>100000</v>
      </c>
      <c r="F28" s="15">
        <v>100000</v>
      </c>
      <c r="G28" s="15">
        <v>100000</v>
      </c>
      <c r="H28" s="15">
        <v>100000</v>
      </c>
      <c r="I28" s="15">
        <v>100000</v>
      </c>
      <c r="J28" s="15">
        <v>100000</v>
      </c>
      <c r="K28" s="15">
        <v>100000</v>
      </c>
      <c r="L28" s="15">
        <v>100000</v>
      </c>
      <c r="M28" s="15">
        <v>100000</v>
      </c>
      <c r="N28" s="15">
        <v>100000</v>
      </c>
      <c r="O28" s="15">
        <v>100000</v>
      </c>
      <c r="P28" s="15">
        <v>100000</v>
      </c>
      <c r="Q28" s="15">
        <v>100000</v>
      </c>
      <c r="R28" s="15">
        <v>100000</v>
      </c>
      <c r="S28" s="15">
        <v>100000</v>
      </c>
      <c r="T28" s="15">
        <v>100000</v>
      </c>
      <c r="U28" s="15">
        <v>100000</v>
      </c>
      <c r="V28" s="15">
        <v>100000</v>
      </c>
      <c r="W28" s="15">
        <v>100000</v>
      </c>
      <c r="X28" s="15">
        <v>100000</v>
      </c>
      <c r="Y28" s="15">
        <v>100000</v>
      </c>
      <c r="Z28" s="17">
        <v>100000</v>
      </c>
    </row>
    <row r="29" spans="2:26" x14ac:dyDescent="0.3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4"/>
    </row>
    <row r="30" spans="2:26" x14ac:dyDescent="0.3">
      <c r="B30" s="11" t="s">
        <v>25</v>
      </c>
      <c r="C30" s="15">
        <v>10000</v>
      </c>
      <c r="D30" s="15">
        <v>10000</v>
      </c>
      <c r="E30" s="15">
        <v>10000</v>
      </c>
      <c r="F30" s="15">
        <v>10000</v>
      </c>
      <c r="G30" s="15">
        <v>10000</v>
      </c>
      <c r="H30" s="15">
        <v>10000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4"/>
    </row>
    <row r="31" spans="2:26" x14ac:dyDescent="0.3">
      <c r="B31" s="11" t="s">
        <v>26</v>
      </c>
      <c r="C31" s="15">
        <v>35000</v>
      </c>
      <c r="D31" s="15">
        <v>35000</v>
      </c>
      <c r="E31" s="15">
        <v>35000</v>
      </c>
      <c r="F31" s="15">
        <v>35000</v>
      </c>
      <c r="G31" s="15">
        <v>35000</v>
      </c>
      <c r="H31" s="15">
        <v>35000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4"/>
    </row>
    <row r="32" spans="2:26" x14ac:dyDescent="0.3">
      <c r="B32" s="11" t="s">
        <v>27</v>
      </c>
      <c r="C32" s="15">
        <v>32000</v>
      </c>
      <c r="D32" s="12"/>
      <c r="E32" s="12"/>
      <c r="F32" s="12"/>
      <c r="G32" s="12"/>
      <c r="H32" s="15">
        <v>102000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4"/>
    </row>
    <row r="33" spans="2:26" x14ac:dyDescent="0.3">
      <c r="B33" s="11" t="s">
        <v>28</v>
      </c>
      <c r="C33" s="12"/>
      <c r="D33" s="12"/>
      <c r="E33" s="12"/>
      <c r="F33" s="15">
        <v>250000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4"/>
    </row>
    <row r="34" spans="2:26" x14ac:dyDescent="0.3">
      <c r="B34" s="11" t="s">
        <v>29</v>
      </c>
      <c r="C34" s="12"/>
      <c r="D34" s="12"/>
      <c r="E34" s="12"/>
      <c r="F34" s="12"/>
      <c r="G34" s="12"/>
      <c r="H34" s="15">
        <v>425000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4"/>
    </row>
    <row r="35" spans="2:26" x14ac:dyDescent="0.3">
      <c r="B35" s="11" t="s">
        <v>30</v>
      </c>
      <c r="C35" s="12"/>
      <c r="D35" s="12"/>
      <c r="E35" s="12"/>
      <c r="F35" s="12"/>
      <c r="G35" s="15">
        <v>300000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4"/>
    </row>
    <row r="36" spans="2:26" x14ac:dyDescent="0.3">
      <c r="B36" s="11" t="s">
        <v>31</v>
      </c>
      <c r="C36" s="12"/>
      <c r="D36" s="12"/>
      <c r="E36" s="12"/>
      <c r="F36" s="15">
        <v>46000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4"/>
    </row>
    <row r="37" spans="2:26" x14ac:dyDescent="0.3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4"/>
    </row>
    <row r="38" spans="2:26" x14ac:dyDescent="0.3">
      <c r="B38" s="11" t="s">
        <v>33</v>
      </c>
      <c r="C38" s="15">
        <v>200000</v>
      </c>
      <c r="D38" s="12"/>
      <c r="E38" s="12"/>
      <c r="F38" s="12"/>
      <c r="G38" s="12"/>
      <c r="H38" s="12"/>
      <c r="I38" s="15">
        <v>200000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4"/>
    </row>
    <row r="39" spans="2:26" x14ac:dyDescent="0.3">
      <c r="B39" s="11" t="s">
        <v>34</v>
      </c>
      <c r="C39" s="12"/>
      <c r="D39" s="12"/>
      <c r="E39" s="12"/>
      <c r="F39" s="15">
        <v>275000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4"/>
    </row>
    <row r="40" spans="2:26" x14ac:dyDescent="0.3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5">
        <v>400000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4"/>
    </row>
    <row r="41" spans="2:26" x14ac:dyDescent="0.3">
      <c r="B41" s="11" t="s">
        <v>36</v>
      </c>
      <c r="C41" s="12"/>
      <c r="D41" s="12"/>
      <c r="E41" s="12"/>
      <c r="F41" s="12"/>
      <c r="G41" s="12"/>
      <c r="H41" s="15">
        <v>185000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4"/>
    </row>
    <row r="42" spans="2:26" x14ac:dyDescent="0.3">
      <c r="B42" s="11" t="s">
        <v>37</v>
      </c>
      <c r="C42" s="12"/>
      <c r="D42" s="12"/>
      <c r="E42" s="12"/>
      <c r="F42" s="15">
        <v>100000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4"/>
    </row>
    <row r="43" spans="2:26" x14ac:dyDescent="0.3">
      <c r="B43" s="11" t="s">
        <v>38</v>
      </c>
      <c r="C43" s="15">
        <v>5000</v>
      </c>
      <c r="D43" s="15">
        <v>5000</v>
      </c>
      <c r="E43" s="15">
        <v>5000</v>
      </c>
      <c r="F43" s="15">
        <v>5000</v>
      </c>
      <c r="G43" s="15">
        <v>5000</v>
      </c>
      <c r="H43" s="15">
        <v>5000</v>
      </c>
      <c r="I43" s="15">
        <v>5000</v>
      </c>
      <c r="J43" s="15">
        <v>5000</v>
      </c>
      <c r="K43" s="15">
        <v>5000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4"/>
    </row>
    <row r="44" spans="2:26" ht="15" thickBot="1" x14ac:dyDescent="0.35">
      <c r="B44" s="18" t="s">
        <v>39</v>
      </c>
      <c r="C44" s="19">
        <f>SUM(C20:C43)</f>
        <v>3674410</v>
      </c>
      <c r="D44" s="19">
        <f t="shared" ref="D44:T44" si="5">SUM(D20:D43)</f>
        <v>5602642</v>
      </c>
      <c r="E44" s="19">
        <f t="shared" si="5"/>
        <v>282250</v>
      </c>
      <c r="F44" s="19">
        <f t="shared" si="5"/>
        <v>1953250</v>
      </c>
      <c r="G44" s="19">
        <f t="shared" si="5"/>
        <v>1550000</v>
      </c>
      <c r="H44" s="19">
        <f t="shared" si="5"/>
        <v>2362000</v>
      </c>
      <c r="I44" s="19">
        <f t="shared" si="5"/>
        <v>5426200</v>
      </c>
      <c r="J44" s="19">
        <f t="shared" si="5"/>
        <v>3431100</v>
      </c>
      <c r="K44" s="19">
        <f t="shared" si="5"/>
        <v>105000</v>
      </c>
      <c r="L44" s="19">
        <f t="shared" si="5"/>
        <v>100000</v>
      </c>
      <c r="M44" s="19">
        <f t="shared" si="5"/>
        <v>500000</v>
      </c>
      <c r="N44" s="19">
        <f t="shared" si="5"/>
        <v>100000</v>
      </c>
      <c r="O44" s="19">
        <f t="shared" si="5"/>
        <v>100000</v>
      </c>
      <c r="P44" s="19">
        <f t="shared" si="5"/>
        <v>100000</v>
      </c>
      <c r="Q44" s="19">
        <f t="shared" si="5"/>
        <v>100000</v>
      </c>
      <c r="R44" s="19">
        <f t="shared" si="5"/>
        <v>100000</v>
      </c>
      <c r="S44" s="19">
        <f t="shared" si="5"/>
        <v>100000</v>
      </c>
      <c r="T44" s="19">
        <f t="shared" si="5"/>
        <v>100000</v>
      </c>
      <c r="U44" s="19">
        <f t="shared" ref="U44" si="6">SUM(U20:U43)</f>
        <v>100000</v>
      </c>
      <c r="V44" s="19">
        <f t="shared" ref="V44" si="7">SUM(V20:V43)</f>
        <v>100000</v>
      </c>
      <c r="W44" s="19">
        <f t="shared" ref="W44" si="8">SUM(W20:W43)</f>
        <v>100000</v>
      </c>
      <c r="X44" s="19">
        <f t="shared" ref="X44:Z44" si="9">SUM(X20:X43)</f>
        <v>100000</v>
      </c>
      <c r="Y44" s="19">
        <f t="shared" ref="Y44" si="10">SUM(Y20:Y43)</f>
        <v>100000</v>
      </c>
      <c r="Z44" s="20">
        <f t="shared" si="9"/>
        <v>100000</v>
      </c>
    </row>
    <row r="46" spans="2:26" x14ac:dyDescent="0.3">
      <c r="B46" s="21" t="s">
        <v>40</v>
      </c>
      <c r="C46" s="22">
        <f>C19-C44</f>
        <v>525707</v>
      </c>
      <c r="D46" s="22">
        <f t="shared" ref="D46:T46" si="11">D19-D44</f>
        <v>191123</v>
      </c>
      <c r="E46" s="22">
        <f t="shared" si="11"/>
        <v>5073821</v>
      </c>
      <c r="F46" s="22">
        <f t="shared" si="11"/>
        <v>7180571</v>
      </c>
      <c r="G46" s="22">
        <f t="shared" si="11"/>
        <v>11360571</v>
      </c>
      <c r="H46" s="22">
        <f t="shared" si="11"/>
        <v>11918571</v>
      </c>
      <c r="I46" s="22">
        <f t="shared" si="11"/>
        <v>9232371</v>
      </c>
      <c r="J46" s="22">
        <f t="shared" si="11"/>
        <v>7391271</v>
      </c>
      <c r="K46" s="22">
        <f t="shared" si="11"/>
        <v>8766284</v>
      </c>
      <c r="L46" s="22">
        <f t="shared" si="11"/>
        <v>9946284</v>
      </c>
      <c r="M46" s="22">
        <f t="shared" si="11"/>
        <v>9576284</v>
      </c>
      <c r="N46" s="22">
        <f t="shared" si="11"/>
        <v>9476284</v>
      </c>
      <c r="O46" s="22">
        <f t="shared" si="11"/>
        <v>9376284</v>
      </c>
      <c r="P46" s="22">
        <f t="shared" si="11"/>
        <v>9276284</v>
      </c>
      <c r="Q46" s="22">
        <f t="shared" si="11"/>
        <v>9176284</v>
      </c>
      <c r="R46" s="22">
        <f t="shared" si="11"/>
        <v>9076284</v>
      </c>
      <c r="S46" s="22">
        <f t="shared" si="11"/>
        <v>8976284</v>
      </c>
      <c r="T46" s="22">
        <f t="shared" si="11"/>
        <v>8876284</v>
      </c>
      <c r="U46" s="22">
        <f t="shared" ref="U46:Z46" si="12">U19-U44</f>
        <v>8776284</v>
      </c>
      <c r="V46" s="22">
        <f t="shared" si="12"/>
        <v>8676284</v>
      </c>
      <c r="W46" s="22">
        <f t="shared" si="12"/>
        <v>8576284</v>
      </c>
      <c r="X46" s="22">
        <f t="shared" si="12"/>
        <v>8476284</v>
      </c>
      <c r="Y46" s="22">
        <f t="shared" si="12"/>
        <v>8376284</v>
      </c>
      <c r="Z46" s="22">
        <f t="shared" si="12"/>
        <v>8276284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2026-08-15T17:14:57Z</dcterms:created>
  <dcterms:modified xsi:type="dcterms:W3CDTF">2026-08-16T22:23:51Z</dcterms:modified>
</cp:coreProperties>
</file>