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سدرة الخير\Hub Project Data\"/>
    </mc:Choice>
  </mc:AlternateContent>
  <xr:revisionPtr revIDLastSave="0" documentId="13_ncr:1_{BEEF6930-5247-46FE-A6AF-C9E35DD47C84}" xr6:coauthVersionLast="47" xr6:coauthVersionMax="47" xr10:uidLastSave="{00000000-0000-0000-0000-000000000000}"/>
  <bookViews>
    <workbookView xWindow="-108" yWindow="-108" windowWidth="23256" windowHeight="13896" xr2:uid="{2A5F8E36-84B9-447B-B8EE-2145B847F993}"/>
  </bookViews>
  <sheets>
    <sheet name="Loans_&amp;_Installments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5" i="2" l="1"/>
  <c r="G39" i="2"/>
  <c r="G40" i="2"/>
  <c r="G41" i="2"/>
  <c r="G42" i="2"/>
  <c r="E43" i="2"/>
  <c r="F43" i="2"/>
  <c r="C50" i="2"/>
  <c r="E55" i="2"/>
  <c r="H24" i="2"/>
  <c r="G24" i="2"/>
  <c r="I23" i="2"/>
  <c r="F23" i="2" s="1"/>
  <c r="I22" i="2"/>
  <c r="F22" i="2" s="1"/>
  <c r="I21" i="2"/>
  <c r="F21" i="2" s="1"/>
  <c r="I20" i="2"/>
  <c r="F20" i="2" s="1"/>
  <c r="I19" i="2"/>
  <c r="F19" i="2" s="1"/>
  <c r="I18" i="2"/>
  <c r="F18" i="2" s="1"/>
  <c r="I17" i="2"/>
  <c r="F17" i="2" s="1"/>
  <c r="I16" i="2"/>
  <c r="F16" i="2" s="1"/>
  <c r="I15" i="2"/>
  <c r="F15" i="2" s="1"/>
  <c r="I14" i="2"/>
  <c r="F14" i="2" s="1"/>
  <c r="I13" i="2"/>
  <c r="F13" i="2" s="1"/>
  <c r="J12" i="2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I12" i="2"/>
  <c r="F12" i="2" s="1"/>
  <c r="E8" i="2"/>
  <c r="H7" i="2"/>
  <c r="G7" i="2"/>
  <c r="F7" i="2" s="1"/>
  <c r="H6" i="2"/>
  <c r="G6" i="2"/>
  <c r="H5" i="2"/>
  <c r="G5" i="2"/>
  <c r="F5" i="2" s="1"/>
  <c r="H4" i="2"/>
  <c r="G4" i="2"/>
  <c r="G43" i="2" l="1"/>
  <c r="J6" i="2"/>
  <c r="I24" i="2"/>
  <c r="J4" i="2"/>
  <c r="H8" i="2"/>
  <c r="J5" i="2"/>
  <c r="I7" i="2"/>
  <c r="J7" i="2"/>
  <c r="I5" i="2"/>
  <c r="F6" i="2"/>
  <c r="G8" i="2"/>
  <c r="F4" i="2"/>
  <c r="I6" i="2"/>
  <c r="I4" i="2"/>
  <c r="I8" i="2" l="1"/>
  <c r="J8" i="2"/>
  <c r="F8" i="2"/>
</calcChain>
</file>

<file path=xl/sharedStrings.xml><?xml version="1.0" encoding="utf-8"?>
<sst xmlns="http://schemas.openxmlformats.org/spreadsheetml/2006/main" count="115" uniqueCount="85">
  <si>
    <t>م</t>
  </si>
  <si>
    <t>اسم المشروع</t>
  </si>
  <si>
    <t>قيمة الأرض</t>
  </si>
  <si>
    <t>التطوير العقاري</t>
  </si>
  <si>
    <t>المقاولات</t>
  </si>
  <si>
    <t>الإيجارات</t>
  </si>
  <si>
    <t>إيرادات أخري</t>
  </si>
  <si>
    <t>الإجمالي</t>
  </si>
  <si>
    <t>النوع</t>
  </si>
  <si>
    <t>قيمة التطوير</t>
  </si>
  <si>
    <t>إجمالي التكلفة</t>
  </si>
  <si>
    <t>مشروع أبراج النرجس (تطوير)</t>
  </si>
  <si>
    <t>رواز</t>
  </si>
  <si>
    <t>مشروع فيلا المرسلات (تطوير)</t>
  </si>
  <si>
    <t>مشروع مجمع العارض (تطوير)</t>
  </si>
  <si>
    <t>مشروع أرض الملقا (تطوير سكني)</t>
  </si>
  <si>
    <t>مقاولات</t>
  </si>
  <si>
    <t>البنك</t>
  </si>
  <si>
    <t>الرصيد</t>
  </si>
  <si>
    <t>مصرف الراجحي</t>
  </si>
  <si>
    <t>البنك الأهلي السعودي</t>
  </si>
  <si>
    <t>الشهر</t>
  </si>
  <si>
    <t>المستحق للتحصيل</t>
  </si>
  <si>
    <t>المحصل الفعلي</t>
  </si>
  <si>
    <t>كفاءة التحصيل %</t>
  </si>
  <si>
    <t>تحصيل الشهر القادم</t>
  </si>
  <si>
    <t>كود الحساب (GL)</t>
  </si>
  <si>
    <t>جهة التمويل</t>
  </si>
  <si>
    <t>أصل التمويل</t>
  </si>
  <si>
    <t>الفائدة %</t>
  </si>
  <si>
    <t>المبلغ المستحق</t>
  </si>
  <si>
    <t>إجمالي المدفوع</t>
  </si>
  <si>
    <t>المتبقي للقرض</t>
  </si>
  <si>
    <t>نسبة السداد %</t>
  </si>
  <si>
    <t>حالة القرض</t>
  </si>
  <si>
    <t>26200</t>
  </si>
  <si>
    <t>منصة دينار (صكوك 2.6M)</t>
  </si>
  <si>
    <t>تم السداد بالكامل</t>
  </si>
  <si>
    <t>26100</t>
  </si>
  <si>
    <t>منصة دينار (صكوك 4.4M)</t>
  </si>
  <si>
    <t>جاري السداد</t>
  </si>
  <si>
    <t>26300</t>
  </si>
  <si>
    <t>منصة دينار (صكوك 3.5M)</t>
  </si>
  <si>
    <t>غير مدفوع</t>
  </si>
  <si>
    <t>26400</t>
  </si>
  <si>
    <t>شركة أملاك العالمية (تمويل 2.2M)</t>
  </si>
  <si>
    <t>إجمالي التسهيلات (Total Loans)</t>
  </si>
  <si>
    <t>رقم القسط</t>
  </si>
  <si>
    <t>بيان الدفعة</t>
  </si>
  <si>
    <t>تاريخ الاستحقاق</t>
  </si>
  <si>
    <t>الأيام المتبقية</t>
  </si>
  <si>
    <t>المستحق للدفعة</t>
  </si>
  <si>
    <t>المبلغ المدفوع</t>
  </si>
  <si>
    <t>المتبقي للدفعة</t>
  </si>
  <si>
    <t>التراكمي المدفوع</t>
  </si>
  <si>
    <t>حالة القسط</t>
  </si>
  <si>
    <t>منصة دينار (صكوك 2.6M - قسط كامل)</t>
  </si>
  <si>
    <t>2026-05-23</t>
  </si>
  <si>
    <t>منصة دينار (صكوك 4.4M - قسط كامل)</t>
  </si>
  <si>
    <t>2026-07-26</t>
  </si>
  <si>
    <t>سداد جزئي (متبقي 4.46M)</t>
  </si>
  <si>
    <t>منصة دينار (صكوك 3.5M - دفعة 1)</t>
  </si>
  <si>
    <t>2027-04-01</t>
  </si>
  <si>
    <t>منصة دينار (صكوك 3.5M - دفعة 2)</t>
  </si>
  <si>
    <t>2027-04-14</t>
  </si>
  <si>
    <t>منصة دينار (صكوك 3.5M - دفعة 3)</t>
  </si>
  <si>
    <t>2027-05-11</t>
  </si>
  <si>
    <t>منصة دينار (صكوك 3.5M - دفعة 4)</t>
  </si>
  <si>
    <t>2027-06-01</t>
  </si>
  <si>
    <t>أملاك العالمية (قسط 1)</t>
  </si>
  <si>
    <t>2026-08-02</t>
  </si>
  <si>
    <t>تم السداد</t>
  </si>
  <si>
    <t>أملاك العالمية (قسط 2)</t>
  </si>
  <si>
    <t>2027-02-02</t>
  </si>
  <si>
    <t>أملاك العالمية (قسط 3)</t>
  </si>
  <si>
    <t>2027-08-02</t>
  </si>
  <si>
    <t>أملاك العالمية (قسط 4)</t>
  </si>
  <si>
    <t>2028-02-02</t>
  </si>
  <si>
    <t>أملاك العالمية (قسط 5)</t>
  </si>
  <si>
    <t>2028-08-02</t>
  </si>
  <si>
    <t>أملاك العالمية (قسط 6)</t>
  </si>
  <si>
    <t>2029-02-02</t>
  </si>
  <si>
    <t>إجمالي الأقساط والدفعات (Total Installments)</t>
  </si>
  <si>
    <t>نوع الايراد</t>
  </si>
  <si>
    <t>المبلغ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</si>
</sst>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\(#,##0\);&quot;-&quot;"/>
    <numFmt numFmtId="165" formatCode="#,##0.00;\(#,##0.00\);&quot;-&quot;"/>
    <numFmt numFmtId="166" formatCode="dd/mm/yyyy"/>
    <numFmt numFmtId="167" formatCode="0.00_);[Red]\(0.00\)"/>
  </numFmts>
  <fonts count="5" x14ac:knownFonts="1">
    <font>
      <sz val="11"/>
      <color theme="1"/>
      <name val="Calibri"/>
      <family val="2"/>
      <scheme val="minor"/>
    </font>
    <font>
      <b/>
      <sz val="12"/>
      <color rgb="FF1F4E78"/>
      <name val="Calibri"/>
      <family val="2"/>
    </font>
    <font>
      <b/>
      <sz val="10"/>
      <color rgb="FFFFFFFF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E9EEF4"/>
        <bgColor rgb="FFE9EEF4"/>
      </patternFill>
    </fill>
    <fill>
      <patternFill patternType="solid">
        <fgColor rgb="FF2F5597"/>
        <bgColor rgb="FF2F5597"/>
      </patternFill>
    </fill>
    <fill>
      <patternFill patternType="solid">
        <fgColor theme="4" tint="-0.249977111117893"/>
        <bgColor rgb="FF2037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/>
      <top/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medium">
        <color rgb="FF1F4E78"/>
      </bottom>
      <diagonal/>
    </border>
    <border>
      <left style="thin">
        <color rgb="FFD9D9D9"/>
      </left>
      <right style="thin">
        <color rgb="FFD9D9D9"/>
      </right>
      <top/>
      <bottom style="medium">
        <color rgb="FF1F4E78"/>
      </bottom>
      <diagonal/>
    </border>
    <border>
      <left style="thin">
        <color rgb="FFD9D9D9"/>
      </left>
      <right/>
      <top/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164" fontId="3" fillId="0" borderId="1" xfId="0" applyNumberFormat="1" applyFont="1" applyBorder="1" applyAlignment="1">
      <alignment horizontal="right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2" xfId="0" applyFont="1" applyFill="1" applyBorder="1"/>
    <xf numFmtId="164" fontId="4" fillId="3" borderId="2" xfId="0" applyNumberFormat="1" applyFont="1" applyFill="1" applyBorder="1" applyAlignment="1">
      <alignment horizontal="right" vertical="center"/>
    </xf>
    <xf numFmtId="0" fontId="1" fillId="0" borderId="3" xfId="0" applyFont="1" applyBorder="1" applyAlignment="1">
      <alignment horizontal="left"/>
    </xf>
    <xf numFmtId="0" fontId="0" fillId="0" borderId="0" xfId="0" applyAlignment="1">
      <alignment horizontal="left"/>
    </xf>
    <xf numFmtId="0" fontId="4" fillId="3" borderId="2" xfId="0" applyFont="1" applyFill="1" applyBorder="1"/>
    <xf numFmtId="0" fontId="1" fillId="0" borderId="0" xfId="0" applyFont="1" applyAlignment="1">
      <alignment horizontal="left"/>
    </xf>
    <xf numFmtId="0" fontId="2" fillId="4" borderId="4" xfId="0" applyFont="1" applyFill="1" applyBorder="1" applyAlignment="1">
      <alignment horizontal="center" vertical="center" wrapText="1"/>
    </xf>
    <xf numFmtId="165" fontId="3" fillId="0" borderId="5" xfId="0" applyNumberFormat="1" applyFont="1" applyBorder="1" applyAlignment="1">
      <alignment horizontal="right" vertical="center"/>
    </xf>
    <xf numFmtId="0" fontId="4" fillId="3" borderId="2" xfId="0" applyFont="1" applyFill="1" applyBorder="1" applyAlignment="1">
      <alignment horizontal="left" vertical="center"/>
    </xf>
    <xf numFmtId="165" fontId="4" fillId="3" borderId="2" xfId="0" applyNumberFormat="1" applyFont="1" applyFill="1" applyBorder="1" applyAlignment="1">
      <alignment vertical="center"/>
    </xf>
    <xf numFmtId="165" fontId="3" fillId="0" borderId="1" xfId="0" applyNumberFormat="1" applyFont="1" applyBorder="1" applyAlignment="1">
      <alignment horizontal="right" vertical="center"/>
    </xf>
    <xf numFmtId="10" fontId="3" fillId="0" borderId="1" xfId="0" applyNumberFormat="1" applyFont="1" applyBorder="1" applyAlignment="1">
      <alignment horizontal="right" vertical="center"/>
    </xf>
    <xf numFmtId="165" fontId="4" fillId="3" borderId="2" xfId="0" applyNumberFormat="1" applyFont="1" applyFill="1" applyBorder="1" applyAlignment="1">
      <alignment horizontal="right" vertical="center"/>
    </xf>
    <xf numFmtId="10" fontId="4" fillId="3" borderId="2" xfId="0" applyNumberFormat="1" applyFont="1" applyFill="1" applyBorder="1" applyAlignment="1">
      <alignment horizontal="right" vertical="center"/>
    </xf>
    <xf numFmtId="10" fontId="3" fillId="0" borderId="0" xfId="0" applyNumberFormat="1" applyFont="1" applyAlignment="1">
      <alignment horizontal="right" vertical="center"/>
    </xf>
    <xf numFmtId="0" fontId="1" fillId="0" borderId="3" xfId="0" applyFont="1" applyBorder="1" applyAlignment="1">
      <alignment horizontal="left" vertical="center"/>
    </xf>
    <xf numFmtId="167" fontId="3" fillId="0" borderId="1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6" xfId="0" applyFont="1" applyBorder="1" applyAlignment="1">
      <alignment horizontal="left" vertical="center"/>
    </xf>
    <xf numFmtId="165" fontId="3" fillId="0" borderId="6" xfId="0" applyNumberFormat="1" applyFont="1" applyBorder="1" applyAlignment="1">
      <alignment horizontal="right" vertical="center"/>
    </xf>
    <xf numFmtId="10" fontId="3" fillId="0" borderId="6" xfId="0" applyNumberFormat="1" applyFont="1" applyBorder="1" applyAlignment="1">
      <alignment horizontal="right" vertical="center"/>
    </xf>
    <xf numFmtId="0" fontId="3" fillId="0" borderId="7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167" fontId="3" fillId="0" borderId="6" xfId="0" applyNumberFormat="1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right" vertical="center"/>
    </xf>
    <xf numFmtId="164" fontId="3" fillId="0" borderId="12" xfId="0" applyNumberFormat="1" applyFont="1" applyBorder="1" applyAlignment="1">
      <alignment horizontal="right" vertical="center"/>
    </xf>
    <xf numFmtId="164" fontId="3" fillId="0" borderId="6" xfId="0" applyNumberFormat="1" applyFont="1" applyBorder="1" applyAlignment="1">
      <alignment horizontal="right" vertical="center"/>
    </xf>
    <xf numFmtId="0" fontId="2" fillId="4" borderId="0" xfId="0" applyFont="1" applyFill="1" applyBorder="1" applyAlignment="1">
      <alignment horizontal="center" vertical="center" wrapText="1"/>
    </xf>
    <xf numFmtId="0" fontId="3" fillId="0" borderId="14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165" fontId="3" fillId="0" borderId="12" xfId="0" applyNumberFormat="1" applyFont="1" applyBorder="1" applyAlignment="1">
      <alignment horizontal="right" vertical="center"/>
    </xf>
    <xf numFmtId="0" fontId="2" fillId="5" borderId="15" xfId="0" applyFont="1" applyFill="1" applyBorder="1" applyAlignment="1">
      <alignment horizontal="center" vertical="center" wrapText="1"/>
    </xf>
    <xf numFmtId="166" fontId="0" fillId="0" borderId="16" xfId="0" applyNumberFormat="1" applyBorder="1"/>
    <xf numFmtId="165" fontId="3" fillId="0" borderId="16" xfId="0" applyNumberFormat="1" applyFont="1" applyBorder="1" applyAlignment="1">
      <alignment horizontal="right" vertical="center"/>
    </xf>
    <xf numFmtId="10" fontId="3" fillId="0" borderId="16" xfId="0" applyNumberFormat="1" applyFont="1" applyBorder="1" applyAlignment="1">
      <alignment horizontal="right" vertical="center"/>
    </xf>
  </cellXfs>
  <cellStyles count="1">
    <cellStyle name="Normal" xfId="0" builtinId="0"/>
  </cellStyles>
  <dxfs count="59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203764"/>
          <bgColor theme="4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/>
        <vertical/>
        <horizontal/>
      </border>
    </dxf>
    <dxf>
      <numFmt numFmtId="166" formatCode="dd/mm/yyyy"/>
      <border diagonalUp="0" diagonalDown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/>
        <vertical/>
        <horizontal/>
      </border>
    </dxf>
    <dxf>
      <border outline="0">
        <top style="thin">
          <color rgb="FFD9D9D9"/>
        </top>
        <bottom style="thin">
          <color theme="0" tint="-0.2499465926084170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2F5597"/>
          <bgColor rgb="FF2F559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/>
        <right/>
        <top style="thin">
          <color rgb="FFD9D9D9"/>
        </top>
        <bottom style="thin">
          <color rgb="FFD9D9D9"/>
        </bottom>
        <vertical/>
        <horizontal/>
      </border>
    </dxf>
    <dxf>
      <border outline="0">
        <left style="thin">
          <color rgb="FFD9D9D9"/>
        </left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1F4E78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#,##0;\(#,##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#,##0;\(#,##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#,##0;\(#,##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bottom style="medium">
          <color rgb="FF1F4E78"/>
        </bottom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1F4E78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#,##0;\(#,##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bottom style="medium">
          <color rgb="FF1F4E78"/>
        </bottom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1F4E78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7" formatCode="0.00_);[Red]\(0.00\)"/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bottom style="medium">
          <color rgb="FF1F4E78"/>
        </bottom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1F4E78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bottom style="medium">
          <color rgb="FF1F4E78"/>
        </bottom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8CD83D5-1931-4B35-8A99-E4A407F4EBFD}" name="القروض" displayName="القروض" ref="B3:K7" totalsRowShown="0" headerRowDxfId="44" dataDxfId="45" headerRowBorderDxfId="57" tableBorderDxfId="58" totalsRowBorderDxfId="56">
  <autoFilter ref="B3:K7" xr:uid="{08CD83D5-1931-4B35-8A99-E4A407F4EBFD}"/>
  <tableColumns count="10">
    <tableColumn id="1" xr3:uid="{1E1F22D1-015B-49C7-B0E9-F407693D8DAB}" name="م" dataDxfId="55"/>
    <tableColumn id="2" xr3:uid="{5E3D9E1A-9B3C-4A23-83F2-0DB3EC1E60AA}" name="كود الحساب (GL)" dataDxfId="54"/>
    <tableColumn id="3" xr3:uid="{F7436720-8196-408A-B866-316D468EA7BC}" name="جهة التمويل" dataDxfId="53"/>
    <tableColumn id="4" xr3:uid="{F84D90CB-D651-430B-9356-0F342EBEC0BF}" name="أصل التمويل" dataDxfId="52"/>
    <tableColumn id="5" xr3:uid="{48627032-5E4A-4A56-A81D-2C79392F5CE8}" name="الفائدة %" dataDxfId="51">
      <calculatedColumnFormula>IF(E4&gt;0, (G4-E4)/E4, 0)</calculatedColumnFormula>
    </tableColumn>
    <tableColumn id="6" xr3:uid="{A8D25AC8-67C6-4470-BD22-1EAE8530E3BB}" name="المبلغ المستحق" dataDxfId="50">
      <calculatedColumnFormula>SUMIF($C$12:$C$23, C4, $G$12:$G$23)</calculatedColumnFormula>
    </tableColumn>
    <tableColumn id="7" xr3:uid="{3DF05E27-6A99-43C9-B538-D1D6C8982C87}" name="إجمالي المدفوع" dataDxfId="49">
      <calculatedColumnFormula>SUMIF($C$12:$C$23, C4, $H$12:$H$23)</calculatedColumnFormula>
    </tableColumn>
    <tableColumn id="8" xr3:uid="{4EA4398A-E6E8-447C-B4E3-DEAA1A0E6734}" name="المتبقي للقرض" dataDxfId="48">
      <calculatedColumnFormula>G4-H4</calculatedColumnFormula>
    </tableColumn>
    <tableColumn id="9" xr3:uid="{1078F62B-3C12-467A-8037-C551AFC45BAE}" name="نسبة السداد %" dataDxfId="47">
      <calculatedColumnFormula>IF(G4&gt;0, H4/G4, 0)</calculatedColumnFormula>
    </tableColumn>
    <tableColumn id="10" xr3:uid="{8CB32CEA-EA37-4F1D-9E25-9783A00F1897}" name="حالة القرض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5AAF0B2-D36A-4622-800D-72805C479F28}" name="الاقساط" displayName="الاقساط" ref="B11:K23" totalsRowShown="0" headerRowDxfId="29" dataDxfId="30" headerRowBorderDxfId="42" tableBorderDxfId="43" totalsRowBorderDxfId="41">
  <autoFilter ref="B11:K23" xr:uid="{25AAF0B2-D36A-4622-800D-72805C479F28}"/>
  <tableColumns count="10">
    <tableColumn id="1" xr3:uid="{A37AB871-20AA-49BD-A888-9AF1A2092FE9}" name="رقم القسط" dataDxfId="40"/>
    <tableColumn id="2" xr3:uid="{7BB86E06-1A48-467C-839F-816330EF31B1}" name="كود الحساب (GL)" dataDxfId="39"/>
    <tableColumn id="3" xr3:uid="{E61F7A2D-BDC4-44F2-9335-E08D00CEB732}" name="بيان الدفعة" dataDxfId="38"/>
    <tableColumn id="4" xr3:uid="{56A6BA54-5C3E-4F92-A23D-18D91501502E}" name="تاريخ الاستحقاق" dataDxfId="37"/>
    <tableColumn id="5" xr3:uid="{87BB5917-20F9-4D3C-9041-43B648390544}" name="الأيام المتبقية" dataDxfId="36">
      <calculatedColumnFormula>IF(I12&gt;0,E12-TODAY(),"")</calculatedColumnFormula>
    </tableColumn>
    <tableColumn id="6" xr3:uid="{4BF6EAC8-5A7A-47D3-B2A5-5F582211D62A}" name="المستحق للدفعة" dataDxfId="35"/>
    <tableColumn id="7" xr3:uid="{CC67325F-FE21-49C6-9292-73A1138CD826}" name="المبلغ المدفوع" dataDxfId="34"/>
    <tableColumn id="8" xr3:uid="{6D77BBC6-6E9B-42E6-9FF1-962456ABA0CB}" name="المتبقي للدفعة" dataDxfId="33">
      <calculatedColumnFormula>G12-H12</calculatedColumnFormula>
    </tableColumn>
    <tableColumn id="9" xr3:uid="{E4074BF7-E861-42DB-BA5A-CAC946F0F451}" name="التراكمي المدفوع" dataDxfId="32">
      <calculatedColumnFormula>J11+H12</calculatedColumnFormula>
    </tableColumn>
    <tableColumn id="10" xr3:uid="{A08612B9-95BC-4628-A43C-26F0A8B3B756}" name="حالة القسط" dataDxfId="31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07BD5-3D87-41B5-AE11-59954A1C6826}" name="الايردات" displayName="الايردات" ref="B30:D34" totalsRowShown="0" headerRowDxfId="22" headerRowBorderDxfId="27" tableBorderDxfId="28" totalsRowBorderDxfId="26">
  <autoFilter ref="B30:D34" xr:uid="{84807BD5-3D87-41B5-AE11-59954A1C6826}"/>
  <tableColumns count="3">
    <tableColumn id="1" xr3:uid="{EC8C4173-E0A5-405D-993A-50D9F7BF5516}" name="م" dataDxfId="25"/>
    <tableColumn id="2" xr3:uid="{87AD5B20-FF69-4AD5-B4B6-23C3CAC7F211}" name="نوع الايراد" dataDxfId="24"/>
    <tableColumn id="3" xr3:uid="{0ADCFFAE-62DD-4A08-9DF2-B64FEA5527E7}" name="المبلغ" dataDxfId="23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2D120E-3DD5-4187-A81E-67C0C0ABB71C}" name="Units_Under_Construction" displayName="Units_Under_Construction" ref="B38:G42" totalsRowShown="0" headerRowDxfId="12" headerRowBorderDxfId="20" tableBorderDxfId="21" totalsRowBorderDxfId="19">
  <autoFilter ref="B38:G42" xr:uid="{D62D120E-3DD5-4187-A81E-67C0C0ABB71C}"/>
  <tableColumns count="6">
    <tableColumn id="1" xr3:uid="{B44F3029-FA59-4685-B96B-62DE29084609}" name="م" dataDxfId="18"/>
    <tableColumn id="2" xr3:uid="{37E43D9A-02AD-42E3-A43D-2358F2E18C8D}" name="اسم المشروع" dataDxfId="17"/>
    <tableColumn id="3" xr3:uid="{80318650-E498-42B7-98C4-E5D2FFCBF0D1}" name="النوع" dataDxfId="16"/>
    <tableColumn id="4" xr3:uid="{80AA303F-C631-41B6-BA7B-33FB06AB9942}" name="قيمة الأرض" dataDxfId="15"/>
    <tableColumn id="5" xr3:uid="{8668B584-08A1-44F1-BA20-8DE2619AD7E6}" name="قيمة التطوير" dataDxfId="14"/>
    <tableColumn id="6" xr3:uid="{7BB8F3DA-2FCB-4C6E-979A-002269AD8AD1}" name="إجمالي التكلفة" dataDxfId="13">
      <calculatedColumnFormula>E39+F39</calculatedColumn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B2630AF-E8DA-4685-A56F-4C2FCBF08954}" name="البنوك" displayName="البنوك" ref="B47:C49" totalsRowShown="0" headerRowDxfId="8" tableBorderDxfId="11">
  <autoFilter ref="B47:C49" xr:uid="{BB2630AF-E8DA-4685-A56F-4C2FCBF08954}"/>
  <tableColumns count="2">
    <tableColumn id="1" xr3:uid="{AAA88640-6019-4F48-A9C2-AC06E77B0248}" name="البنك" dataDxfId="10"/>
    <tableColumn id="2" xr3:uid="{522AD8EB-0CDA-40D1-8C62-09844870006E}" name="الرصيد" dataDxfId="9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47962E8-D4E2-49BC-B4CA-5F7601A52109}" name="تحصيلات_الايجار" displayName="تحصيلات_الايجار" ref="B54:F55" totalsRowShown="0" headerRowDxfId="0" dataDxfId="1" tableBorderDxfId="7">
  <autoFilter ref="B54:F55" xr:uid="{047962E8-D4E2-49BC-B4CA-5F7601A52109}"/>
  <tableColumns count="5">
    <tableColumn id="1" xr3:uid="{FBE8A87F-F4FF-430D-BB6E-9842BDA03389}" name="الشهر" dataDxfId="6"/>
    <tableColumn id="2" xr3:uid="{80069C6C-993B-46EA-8CEE-B6E352F9CB27}" name="المستحق للتحصيل" dataDxfId="5"/>
    <tableColumn id="3" xr3:uid="{F7BC38F8-3F20-44EC-B882-B42317D364D5}" name="المحصل الفعلي" dataDxfId="4"/>
    <tableColumn id="4" xr3:uid="{CD71EAF6-9941-4277-BF01-4C630D923114}" name="كفاءة التحصيل %" dataDxfId="3">
      <calculatedColumnFormula>IF(C55&gt;0, D55/C55, 0)</calculatedColumnFormula>
    </tableColumn>
    <tableColumn id="5" xr3:uid="{C1C03E1E-D9BC-4EF4-A34C-34F220E83E73}" name="تحصيل الشهر القادم" dataDxfId="2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A6161-56C5-4337-93A2-261B2C24E42D}">
  <dimension ref="B2:K55"/>
  <sheetViews>
    <sheetView showGridLines="0" tabSelected="1" topLeftCell="A36" workbookViewId="0">
      <selection activeCell="I49" sqref="I49"/>
    </sheetView>
  </sheetViews>
  <sheetFormatPr defaultRowHeight="14.4" x14ac:dyDescent="0.3"/>
  <cols>
    <col min="2" max="2" width="35.88671875" bestFit="1" customWidth="1"/>
    <col min="3" max="3" width="15.33203125" customWidth="1"/>
    <col min="4" max="4" width="26.88671875" bestFit="1" customWidth="1"/>
    <col min="5" max="5" width="14.33203125" customWidth="1"/>
    <col min="6" max="6" width="16" customWidth="1"/>
    <col min="7" max="10" width="13.88671875" customWidth="1"/>
    <col min="11" max="11" width="18.6640625" bestFit="1" customWidth="1"/>
  </cols>
  <sheetData>
    <row r="2" spans="2:11" ht="15.6" x14ac:dyDescent="0.3">
      <c r="B2" s="1"/>
      <c r="C2" s="9"/>
      <c r="D2" s="9"/>
      <c r="E2" s="9"/>
      <c r="F2" s="9"/>
      <c r="G2" s="9"/>
      <c r="H2" s="9"/>
      <c r="I2" s="9"/>
      <c r="J2" s="9"/>
      <c r="K2" s="9"/>
    </row>
    <row r="3" spans="2:11" ht="17.399999999999999" customHeight="1" thickBot="1" x14ac:dyDescent="0.35">
      <c r="B3" s="29" t="s">
        <v>0</v>
      </c>
      <c r="C3" s="30" t="s">
        <v>26</v>
      </c>
      <c r="D3" s="30" t="s">
        <v>27</v>
      </c>
      <c r="E3" s="30" t="s">
        <v>28</v>
      </c>
      <c r="F3" s="30" t="s">
        <v>29</v>
      </c>
      <c r="G3" s="30" t="s">
        <v>30</v>
      </c>
      <c r="H3" s="30" t="s">
        <v>31</v>
      </c>
      <c r="I3" s="30" t="s">
        <v>32</v>
      </c>
      <c r="J3" s="30" t="s">
        <v>33</v>
      </c>
      <c r="K3" s="31" t="s">
        <v>34</v>
      </c>
    </row>
    <row r="4" spans="2:11" x14ac:dyDescent="0.3">
      <c r="B4" s="27">
        <v>1</v>
      </c>
      <c r="C4" s="2" t="s">
        <v>35</v>
      </c>
      <c r="D4" s="3" t="s">
        <v>36</v>
      </c>
      <c r="E4" s="16">
        <v>2600000</v>
      </c>
      <c r="F4" s="17">
        <f>IF(E4&gt;0, (G4-E4)/E4, 0)</f>
        <v>0.14560000000000001</v>
      </c>
      <c r="G4" s="16">
        <f>SUMIF($C$12:$C$23, C4, $G$12:$G$23)</f>
        <v>2978560</v>
      </c>
      <c r="H4" s="16">
        <f>SUMIF($C$12:$C$23, C4, $H$12:$H$23)</f>
        <v>2978560</v>
      </c>
      <c r="I4" s="16">
        <f>G4-H4</f>
        <v>0</v>
      </c>
      <c r="J4" s="17">
        <f>IF(G4&gt;0, H4/G4, 0)</f>
        <v>1</v>
      </c>
      <c r="K4" s="28" t="s">
        <v>37</v>
      </c>
    </row>
    <row r="5" spans="2:11" x14ac:dyDescent="0.3">
      <c r="B5" s="27">
        <v>2</v>
      </c>
      <c r="C5" s="2" t="s">
        <v>38</v>
      </c>
      <c r="D5" s="3" t="s">
        <v>39</v>
      </c>
      <c r="E5" s="16">
        <v>4400000</v>
      </c>
      <c r="F5" s="17">
        <f>IF(E5&gt;0, (G5-E5)/E5, 0)</f>
        <v>0.18293000000000001</v>
      </c>
      <c r="G5" s="16">
        <f>SUMIF($C$12:$C$23, C5, $G$12:$G$23)</f>
        <v>5204892</v>
      </c>
      <c r="H5" s="16">
        <f>SUMIF($C$12:$C$23, C5, $H$12:$H$23)</f>
        <v>740440</v>
      </c>
      <c r="I5" s="16">
        <f>G5-H5</f>
        <v>4464452</v>
      </c>
      <c r="J5" s="17">
        <f>IF(G5&gt;0, H5/G5, 0)</f>
        <v>0.14225847529593313</v>
      </c>
      <c r="K5" s="28" t="s">
        <v>40</v>
      </c>
    </row>
    <row r="6" spans="2:11" x14ac:dyDescent="0.3">
      <c r="B6" s="27">
        <v>3</v>
      </c>
      <c r="C6" s="2" t="s">
        <v>41</v>
      </c>
      <c r="D6" s="3" t="s">
        <v>42</v>
      </c>
      <c r="E6" s="16">
        <v>3500000</v>
      </c>
      <c r="F6" s="17">
        <f>IF(E6&gt;0, (G6-E6)/E6, 0)</f>
        <v>0.21060000000000001</v>
      </c>
      <c r="G6" s="16">
        <f>SUMIF($C$12:$C$23, C6, $G$12:$G$23)</f>
        <v>4237100</v>
      </c>
      <c r="H6" s="16">
        <f>SUMIF($C$12:$C$23, C6, $H$12:$H$23)</f>
        <v>0</v>
      </c>
      <c r="I6" s="16">
        <f>G6-H6</f>
        <v>4237100</v>
      </c>
      <c r="J6" s="17">
        <f>IF(G6&gt;0, H6/G6, 0)</f>
        <v>0</v>
      </c>
      <c r="K6" s="28" t="s">
        <v>43</v>
      </c>
    </row>
    <row r="7" spans="2:11" x14ac:dyDescent="0.3">
      <c r="B7" s="32">
        <v>4</v>
      </c>
      <c r="C7" s="23" t="s">
        <v>44</v>
      </c>
      <c r="D7" s="24" t="s">
        <v>45</v>
      </c>
      <c r="E7" s="25">
        <v>2200000</v>
      </c>
      <c r="F7" s="26">
        <f>IF(E7&gt;0, (G7-E7)/E7, 0)</f>
        <v>0.315</v>
      </c>
      <c r="G7" s="25">
        <f>SUMIF($C$12:$C$23, C7, $G$12:$G$23)</f>
        <v>2893000</v>
      </c>
      <c r="H7" s="25">
        <f>SUMIF($C$12:$C$23, C7, $H$12:$H$23)</f>
        <v>115500</v>
      </c>
      <c r="I7" s="25">
        <f>G7-H7</f>
        <v>2777500</v>
      </c>
      <c r="J7" s="26">
        <f>IF(G7&gt;0, H7/G7, 0)</f>
        <v>3.9923954372623575E-2</v>
      </c>
      <c r="K7" s="33" t="s">
        <v>40</v>
      </c>
    </row>
    <row r="8" spans="2:11" ht="15" thickBot="1" x14ac:dyDescent="0.35">
      <c r="B8" s="5" t="s">
        <v>46</v>
      </c>
      <c r="C8" s="5"/>
      <c r="D8" s="5"/>
      <c r="E8" s="18">
        <f>SUM(E4:E7)</f>
        <v>12700000</v>
      </c>
      <c r="F8" s="19">
        <f>IF(E8&gt;0, (G8-E8)/E8, 0)</f>
        <v>0.20579149606299213</v>
      </c>
      <c r="G8" s="18">
        <f>SUM(G4:G7)</f>
        <v>15313552</v>
      </c>
      <c r="H8" s="18">
        <f>SUM(H4:H7)</f>
        <v>3834500</v>
      </c>
      <c r="I8" s="18">
        <f>SUM(I4:I7)</f>
        <v>11479052</v>
      </c>
      <c r="J8" s="19">
        <f>IF(G8&gt;0, H8/G8, 0)</f>
        <v>0.25039912359980232</v>
      </c>
      <c r="K8" s="10"/>
    </row>
    <row r="9" spans="2:11" ht="15" thickTop="1" x14ac:dyDescent="0.3">
      <c r="K9" s="20"/>
    </row>
    <row r="10" spans="2:11" ht="15.6" x14ac:dyDescent="0.3">
      <c r="B10" s="21"/>
      <c r="C10" s="21"/>
      <c r="D10" s="21"/>
      <c r="E10" s="21"/>
      <c r="F10" s="21"/>
      <c r="G10" s="21"/>
      <c r="H10" s="21"/>
      <c r="I10" s="21"/>
      <c r="J10" s="21"/>
      <c r="K10" s="21"/>
    </row>
    <row r="11" spans="2:11" ht="17.399999999999999" customHeight="1" thickBot="1" x14ac:dyDescent="0.35">
      <c r="B11" s="29" t="s">
        <v>47</v>
      </c>
      <c r="C11" s="30" t="s">
        <v>26</v>
      </c>
      <c r="D11" s="30" t="s">
        <v>48</v>
      </c>
      <c r="E11" s="30" t="s">
        <v>49</v>
      </c>
      <c r="F11" s="30" t="s">
        <v>50</v>
      </c>
      <c r="G11" s="30" t="s">
        <v>51</v>
      </c>
      <c r="H11" s="30" t="s">
        <v>52</v>
      </c>
      <c r="I11" s="30" t="s">
        <v>53</v>
      </c>
      <c r="J11" s="30" t="s">
        <v>54</v>
      </c>
      <c r="K11" s="31" t="s">
        <v>55</v>
      </c>
    </row>
    <row r="12" spans="2:11" x14ac:dyDescent="0.3">
      <c r="B12" s="27">
        <v>1</v>
      </c>
      <c r="C12" s="2" t="s">
        <v>35</v>
      </c>
      <c r="D12" s="3" t="s">
        <v>56</v>
      </c>
      <c r="E12" s="2" t="s">
        <v>57</v>
      </c>
      <c r="F12" s="22" t="str">
        <f ca="1">IF(I12&gt;0,E12-TODAY(),"")</f>
        <v/>
      </c>
      <c r="G12" s="16">
        <v>2978560</v>
      </c>
      <c r="H12" s="16">
        <v>2978560</v>
      </c>
      <c r="I12" s="16">
        <f>G12-H12</f>
        <v>0</v>
      </c>
      <c r="J12" s="16">
        <f>H12</f>
        <v>2978560</v>
      </c>
      <c r="K12" s="28" t="s">
        <v>37</v>
      </c>
    </row>
    <row r="13" spans="2:11" x14ac:dyDescent="0.3">
      <c r="B13" s="27">
        <v>2</v>
      </c>
      <c r="C13" s="2" t="s">
        <v>38</v>
      </c>
      <c r="D13" s="3" t="s">
        <v>58</v>
      </c>
      <c r="E13" s="2" t="s">
        <v>59</v>
      </c>
      <c r="F13" s="22">
        <f ca="1">IF(I13&gt;0,E13-TODAY(),"")</f>
        <v>-22</v>
      </c>
      <c r="G13" s="16">
        <v>5204892</v>
      </c>
      <c r="H13" s="16">
        <v>740440</v>
      </c>
      <c r="I13" s="16">
        <f>G13-H13</f>
        <v>4464452</v>
      </c>
      <c r="J13" s="16">
        <f>J12+H13</f>
        <v>3719000</v>
      </c>
      <c r="K13" s="28" t="s">
        <v>60</v>
      </c>
    </row>
    <row r="14" spans="2:11" x14ac:dyDescent="0.3">
      <c r="B14" s="27">
        <v>3</v>
      </c>
      <c r="C14" s="2" t="s">
        <v>41</v>
      </c>
      <c r="D14" s="3" t="s">
        <v>61</v>
      </c>
      <c r="E14" s="2" t="s">
        <v>62</v>
      </c>
      <c r="F14" s="22">
        <f ca="1">IF(I14&gt;0,E14-TODAY(),"")</f>
        <v>227</v>
      </c>
      <c r="G14" s="16">
        <v>1210600</v>
      </c>
      <c r="H14" s="16">
        <v>0</v>
      </c>
      <c r="I14" s="16">
        <f>G14-H14</f>
        <v>1210600</v>
      </c>
      <c r="J14" s="16">
        <f>J13+H14</f>
        <v>3719000</v>
      </c>
      <c r="K14" s="28" t="s">
        <v>43</v>
      </c>
    </row>
    <row r="15" spans="2:11" x14ac:dyDescent="0.3">
      <c r="B15" s="27">
        <v>4</v>
      </c>
      <c r="C15" s="2" t="s">
        <v>41</v>
      </c>
      <c r="D15" s="3" t="s">
        <v>63</v>
      </c>
      <c r="E15" s="2" t="s">
        <v>64</v>
      </c>
      <c r="F15" s="22">
        <f ca="1">IF(I15&gt;0,E15-TODAY(),"")</f>
        <v>240</v>
      </c>
      <c r="G15" s="16">
        <v>1210600</v>
      </c>
      <c r="H15" s="16">
        <v>0</v>
      </c>
      <c r="I15" s="16">
        <f>G15-H15</f>
        <v>1210600</v>
      </c>
      <c r="J15" s="16">
        <f>J14+H15</f>
        <v>3719000</v>
      </c>
      <c r="K15" s="28" t="s">
        <v>43</v>
      </c>
    </row>
    <row r="16" spans="2:11" x14ac:dyDescent="0.3">
      <c r="B16" s="27">
        <v>5</v>
      </c>
      <c r="C16" s="2" t="s">
        <v>41</v>
      </c>
      <c r="D16" s="3" t="s">
        <v>65</v>
      </c>
      <c r="E16" s="2" t="s">
        <v>66</v>
      </c>
      <c r="F16" s="22">
        <f ca="1">IF(I16&gt;0,E16-TODAY(),"")</f>
        <v>267</v>
      </c>
      <c r="G16" s="16">
        <v>1210600</v>
      </c>
      <c r="H16" s="16">
        <v>0</v>
      </c>
      <c r="I16" s="16">
        <f>G16-H16</f>
        <v>1210600</v>
      </c>
      <c r="J16" s="16">
        <f>J15+H16</f>
        <v>3719000</v>
      </c>
      <c r="K16" s="28" t="s">
        <v>43</v>
      </c>
    </row>
    <row r="17" spans="2:11" x14ac:dyDescent="0.3">
      <c r="B17" s="27">
        <v>6</v>
      </c>
      <c r="C17" s="2" t="s">
        <v>41</v>
      </c>
      <c r="D17" s="3" t="s">
        <v>67</v>
      </c>
      <c r="E17" s="2" t="s">
        <v>68</v>
      </c>
      <c r="F17" s="22">
        <f ca="1">IF(I17&gt;0,E17-TODAY(),"")</f>
        <v>288</v>
      </c>
      <c r="G17" s="16">
        <v>605300</v>
      </c>
      <c r="H17" s="16">
        <v>0</v>
      </c>
      <c r="I17" s="16">
        <f>G17-H17</f>
        <v>605300</v>
      </c>
      <c r="J17" s="16">
        <f>J16+H17</f>
        <v>3719000</v>
      </c>
      <c r="K17" s="28" t="s">
        <v>43</v>
      </c>
    </row>
    <row r="18" spans="2:11" x14ac:dyDescent="0.3">
      <c r="B18" s="27">
        <v>7</v>
      </c>
      <c r="C18" s="2" t="s">
        <v>44</v>
      </c>
      <c r="D18" s="3" t="s">
        <v>69</v>
      </c>
      <c r="E18" s="2" t="s">
        <v>70</v>
      </c>
      <c r="F18" s="22" t="str">
        <f ca="1">IF(I18&gt;0,E18-TODAY(),"")</f>
        <v/>
      </c>
      <c r="G18" s="16">
        <v>115500</v>
      </c>
      <c r="H18" s="16">
        <v>115500</v>
      </c>
      <c r="I18" s="16">
        <f>G18-H18</f>
        <v>0</v>
      </c>
      <c r="J18" s="16">
        <f>J17+H18</f>
        <v>3834500</v>
      </c>
      <c r="K18" s="28" t="s">
        <v>71</v>
      </c>
    </row>
    <row r="19" spans="2:11" x14ac:dyDescent="0.3">
      <c r="B19" s="27">
        <v>8</v>
      </c>
      <c r="C19" s="2" t="s">
        <v>44</v>
      </c>
      <c r="D19" s="3" t="s">
        <v>72</v>
      </c>
      <c r="E19" s="2" t="s">
        <v>73</v>
      </c>
      <c r="F19" s="22">
        <f ca="1">IF(I19&gt;0,E19-TODAY(),"")</f>
        <v>169</v>
      </c>
      <c r="G19" s="16">
        <v>115500</v>
      </c>
      <c r="H19" s="16">
        <v>0</v>
      </c>
      <c r="I19" s="16">
        <f>G19-H19</f>
        <v>115500</v>
      </c>
      <c r="J19" s="16">
        <f>J18+H19</f>
        <v>3834500</v>
      </c>
      <c r="K19" s="28" t="s">
        <v>43</v>
      </c>
    </row>
    <row r="20" spans="2:11" x14ac:dyDescent="0.3">
      <c r="B20" s="27">
        <v>9</v>
      </c>
      <c r="C20" s="2" t="s">
        <v>44</v>
      </c>
      <c r="D20" s="3" t="s">
        <v>74</v>
      </c>
      <c r="E20" s="2" t="s">
        <v>75</v>
      </c>
      <c r="F20" s="22">
        <f ca="1">IF(I20&gt;0,E20-TODAY(),"")</f>
        <v>350</v>
      </c>
      <c r="G20" s="16">
        <v>115500</v>
      </c>
      <c r="H20" s="16">
        <v>0</v>
      </c>
      <c r="I20" s="16">
        <f>G20-H20</f>
        <v>115500</v>
      </c>
      <c r="J20" s="16">
        <f>J19+H20</f>
        <v>3834500</v>
      </c>
      <c r="K20" s="28" t="s">
        <v>43</v>
      </c>
    </row>
    <row r="21" spans="2:11" x14ac:dyDescent="0.3">
      <c r="B21" s="27">
        <v>10</v>
      </c>
      <c r="C21" s="2" t="s">
        <v>44</v>
      </c>
      <c r="D21" s="3" t="s">
        <v>76</v>
      </c>
      <c r="E21" s="2" t="s">
        <v>77</v>
      </c>
      <c r="F21" s="22">
        <f ca="1">IF(I21&gt;0,E21-TODAY(),"")</f>
        <v>534</v>
      </c>
      <c r="G21" s="16">
        <v>115500</v>
      </c>
      <c r="H21" s="16">
        <v>0</v>
      </c>
      <c r="I21" s="16">
        <f>G21-H21</f>
        <v>115500</v>
      </c>
      <c r="J21" s="16">
        <f>J20+H21</f>
        <v>3834500</v>
      </c>
      <c r="K21" s="28" t="s">
        <v>43</v>
      </c>
    </row>
    <row r="22" spans="2:11" x14ac:dyDescent="0.3">
      <c r="B22" s="27">
        <v>11</v>
      </c>
      <c r="C22" s="2" t="s">
        <v>44</v>
      </c>
      <c r="D22" s="3" t="s">
        <v>78</v>
      </c>
      <c r="E22" s="2" t="s">
        <v>79</v>
      </c>
      <c r="F22" s="22">
        <f ca="1">IF(I22&gt;0,E22-TODAY(),"")</f>
        <v>716</v>
      </c>
      <c r="G22" s="16">
        <v>115500</v>
      </c>
      <c r="H22" s="16">
        <v>0</v>
      </c>
      <c r="I22" s="16">
        <f>G22-H22</f>
        <v>115500</v>
      </c>
      <c r="J22" s="16">
        <f>J21+H22</f>
        <v>3834500</v>
      </c>
      <c r="K22" s="28" t="s">
        <v>43</v>
      </c>
    </row>
    <row r="23" spans="2:11" x14ac:dyDescent="0.3">
      <c r="B23" s="32">
        <v>12</v>
      </c>
      <c r="C23" s="23" t="s">
        <v>44</v>
      </c>
      <c r="D23" s="24" t="s">
        <v>80</v>
      </c>
      <c r="E23" s="23" t="s">
        <v>81</v>
      </c>
      <c r="F23" s="34">
        <f ca="1">IF(I23&gt;0,E23-TODAY(),"")</f>
        <v>900</v>
      </c>
      <c r="G23" s="25">
        <v>2315500</v>
      </c>
      <c r="H23" s="25">
        <v>0</v>
      </c>
      <c r="I23" s="25">
        <f>G23-H23</f>
        <v>2315500</v>
      </c>
      <c r="J23" s="25">
        <f>J22+H23</f>
        <v>3834500</v>
      </c>
      <c r="K23" s="33" t="s">
        <v>43</v>
      </c>
    </row>
    <row r="24" spans="2:11" ht="15" thickBot="1" x14ac:dyDescent="0.35">
      <c r="B24" s="5" t="s">
        <v>82</v>
      </c>
      <c r="C24" s="5"/>
      <c r="D24" s="5"/>
      <c r="E24" s="10"/>
      <c r="F24" s="10"/>
      <c r="G24" s="18">
        <f>SUM(G12:G23)</f>
        <v>15313552</v>
      </c>
      <c r="H24" s="18">
        <f>SUM(H12:H23)</f>
        <v>3834500</v>
      </c>
      <c r="I24" s="18">
        <f>SUM(I12:I23)</f>
        <v>11479052</v>
      </c>
      <c r="J24" s="18">
        <f>J23</f>
        <v>3834500</v>
      </c>
      <c r="K24" s="10"/>
    </row>
    <row r="25" spans="2:11" ht="15" thickTop="1" x14ac:dyDescent="0.3"/>
    <row r="29" spans="2:11" ht="15.6" x14ac:dyDescent="0.3">
      <c r="B29" s="1"/>
    </row>
    <row r="30" spans="2:11" ht="15" thickBot="1" x14ac:dyDescent="0.35">
      <c r="B30" s="29" t="s">
        <v>0</v>
      </c>
      <c r="C30" s="30" t="s">
        <v>83</v>
      </c>
      <c r="D30" s="31" t="s">
        <v>84</v>
      </c>
    </row>
    <row r="31" spans="2:11" x14ac:dyDescent="0.3">
      <c r="B31" s="27">
        <v>1</v>
      </c>
      <c r="C31" s="3" t="s">
        <v>3</v>
      </c>
      <c r="D31" s="35">
        <v>1810000</v>
      </c>
    </row>
    <row r="32" spans="2:11" x14ac:dyDescent="0.3">
      <c r="B32" s="27">
        <v>2</v>
      </c>
      <c r="C32" s="3" t="s">
        <v>4</v>
      </c>
      <c r="D32" s="35">
        <v>1925000</v>
      </c>
    </row>
    <row r="33" spans="2:7" x14ac:dyDescent="0.3">
      <c r="B33" s="27">
        <v>3</v>
      </c>
      <c r="C33" s="3" t="s">
        <v>5</v>
      </c>
      <c r="D33" s="35">
        <v>4070000</v>
      </c>
    </row>
    <row r="34" spans="2:7" x14ac:dyDescent="0.3">
      <c r="B34" s="32">
        <v>4</v>
      </c>
      <c r="C34" s="24" t="s">
        <v>6</v>
      </c>
      <c r="D34" s="36">
        <v>50000</v>
      </c>
    </row>
    <row r="35" spans="2:7" ht="15" thickBot="1" x14ac:dyDescent="0.35">
      <c r="B35" s="5" t="s">
        <v>7</v>
      </c>
      <c r="C35" s="6"/>
      <c r="D35" s="7">
        <f>SUM(D31:D34)</f>
        <v>7855000</v>
      </c>
    </row>
    <row r="36" spans="2:7" ht="15" thickTop="1" x14ac:dyDescent="0.3"/>
    <row r="37" spans="2:7" ht="15.6" x14ac:dyDescent="0.3">
      <c r="B37" s="8"/>
      <c r="C37" s="8"/>
      <c r="D37" s="8"/>
      <c r="E37" s="8"/>
      <c r="F37" s="8"/>
      <c r="G37" s="9"/>
    </row>
    <row r="38" spans="2:7" ht="15" thickBot="1" x14ac:dyDescent="0.35">
      <c r="B38" s="29" t="s">
        <v>0</v>
      </c>
      <c r="C38" s="30" t="s">
        <v>1</v>
      </c>
      <c r="D38" s="30" t="s">
        <v>8</v>
      </c>
      <c r="E38" s="30" t="s">
        <v>2</v>
      </c>
      <c r="F38" s="30" t="s">
        <v>9</v>
      </c>
      <c r="G38" s="31" t="s">
        <v>10</v>
      </c>
    </row>
    <row r="39" spans="2:7" x14ac:dyDescent="0.3">
      <c r="B39" s="27">
        <v>1</v>
      </c>
      <c r="C39" s="3" t="s">
        <v>11</v>
      </c>
      <c r="D39" s="3" t="s">
        <v>12</v>
      </c>
      <c r="E39" s="4">
        <v>5000000</v>
      </c>
      <c r="F39" s="4">
        <v>13000000</v>
      </c>
      <c r="G39" s="35">
        <f>E39+F39</f>
        <v>18000000</v>
      </c>
    </row>
    <row r="40" spans="2:7" x14ac:dyDescent="0.3">
      <c r="B40" s="27">
        <v>2</v>
      </c>
      <c r="C40" s="3" t="s">
        <v>13</v>
      </c>
      <c r="D40" s="3" t="s">
        <v>12</v>
      </c>
      <c r="E40" s="4">
        <v>3500000</v>
      </c>
      <c r="F40" s="4">
        <v>8000000</v>
      </c>
      <c r="G40" s="35">
        <f>E40+F40</f>
        <v>11500000</v>
      </c>
    </row>
    <row r="41" spans="2:7" x14ac:dyDescent="0.3">
      <c r="B41" s="27">
        <v>3</v>
      </c>
      <c r="C41" s="3" t="s">
        <v>14</v>
      </c>
      <c r="D41" s="3" t="s">
        <v>12</v>
      </c>
      <c r="E41" s="4">
        <v>8000000</v>
      </c>
      <c r="F41" s="4">
        <v>27000000</v>
      </c>
      <c r="G41" s="35">
        <f>E41+F41</f>
        <v>35000000</v>
      </c>
    </row>
    <row r="42" spans="2:7" x14ac:dyDescent="0.3">
      <c r="B42" s="32">
        <v>4</v>
      </c>
      <c r="C42" s="24" t="s">
        <v>15</v>
      </c>
      <c r="D42" s="24" t="s">
        <v>16</v>
      </c>
      <c r="E42" s="37">
        <v>4200000</v>
      </c>
      <c r="F42" s="37">
        <v>6800000</v>
      </c>
      <c r="G42" s="36">
        <f>E42+F42</f>
        <v>11000000</v>
      </c>
    </row>
    <row r="43" spans="2:7" ht="15" thickBot="1" x14ac:dyDescent="0.35">
      <c r="B43" s="5" t="s">
        <v>7</v>
      </c>
      <c r="C43" s="6"/>
      <c r="D43" s="10"/>
      <c r="E43" s="7">
        <f>SUM(E39:E42)</f>
        <v>20700000</v>
      </c>
      <c r="F43" s="7">
        <f>SUM(F39:F42)</f>
        <v>54800000</v>
      </c>
      <c r="G43" s="7">
        <f>SUM(G39:G42)</f>
        <v>75500000</v>
      </c>
    </row>
    <row r="44" spans="2:7" ht="15" thickTop="1" x14ac:dyDescent="0.3"/>
    <row r="46" spans="2:7" ht="15.6" x14ac:dyDescent="0.3">
      <c r="B46" s="11"/>
      <c r="C46" s="11"/>
    </row>
    <row r="47" spans="2:7" x14ac:dyDescent="0.3">
      <c r="B47" s="38" t="s">
        <v>17</v>
      </c>
      <c r="C47" s="12" t="s">
        <v>18</v>
      </c>
    </row>
    <row r="48" spans="2:7" x14ac:dyDescent="0.3">
      <c r="B48" s="39" t="s">
        <v>19</v>
      </c>
      <c r="C48" s="13">
        <v>4250000</v>
      </c>
    </row>
    <row r="49" spans="2:6" x14ac:dyDescent="0.3">
      <c r="B49" s="40" t="s">
        <v>20</v>
      </c>
      <c r="C49" s="41">
        <v>1850000</v>
      </c>
    </row>
    <row r="50" spans="2:6" ht="15" thickBot="1" x14ac:dyDescent="0.35">
      <c r="B50" s="14" t="s">
        <v>7</v>
      </c>
      <c r="C50" s="15">
        <f>SUM(C48:C49)</f>
        <v>6100000</v>
      </c>
    </row>
    <row r="51" spans="2:6" ht="15" thickTop="1" x14ac:dyDescent="0.3"/>
    <row r="53" spans="2:6" ht="15.6" x14ac:dyDescent="0.3">
      <c r="B53" s="11"/>
    </row>
    <row r="54" spans="2:6" ht="27.6" x14ac:dyDescent="0.3">
      <c r="B54" s="42" t="s">
        <v>21</v>
      </c>
      <c r="C54" s="42" t="s">
        <v>22</v>
      </c>
      <c r="D54" s="42" t="s">
        <v>23</v>
      </c>
      <c r="E54" s="42" t="s">
        <v>24</v>
      </c>
      <c r="F54" s="42" t="s">
        <v>25</v>
      </c>
    </row>
    <row r="55" spans="2:6" x14ac:dyDescent="0.3">
      <c r="B55" s="43">
        <v>46239</v>
      </c>
      <c r="C55" s="44">
        <v>850000</v>
      </c>
      <c r="D55" s="44">
        <v>720000</v>
      </c>
      <c r="E55" s="45">
        <f>IF(C55&gt;0, D55/C55, 0)</f>
        <v>0.84705882352941175</v>
      </c>
      <c r="F55" s="44">
        <v>500000</v>
      </c>
    </row>
  </sheetData>
  <mergeCells count="4">
    <mergeCell ref="B8:D8"/>
    <mergeCell ref="B24:D24"/>
    <mergeCell ref="B35:C35"/>
    <mergeCell ref="B43:C43"/>
  </mergeCell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Loans_&amp;_Installments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2026-08-16T21:15:27Z</dcterms:created>
  <dcterms:modified xsi:type="dcterms:W3CDTF">2026-08-16T22:30:36Z</dcterms:modified>
</cp:coreProperties>
</file>