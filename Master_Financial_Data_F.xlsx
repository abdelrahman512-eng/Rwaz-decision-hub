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سدرة الخير\Hub Project Data\"/>
    </mc:Choice>
  </mc:AlternateContent>
  <xr:revisionPtr revIDLastSave="0" documentId="13_ncr:1_{029B9DB6-E453-4669-BDE0-7A77C461F4E4}" xr6:coauthVersionLast="47" xr6:coauthVersionMax="47" xr10:uidLastSave="{00000000-0000-0000-0000-000000000000}"/>
  <bookViews>
    <workbookView xWindow="-108" yWindow="-108" windowWidth="23256" windowHeight="13896" xr2:uid="{2A5F8E36-84B9-447B-B8EE-2145B847F993}"/>
  </bookViews>
  <sheets>
    <sheet name="Loans_&amp;_Installmen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2" l="1"/>
  <c r="F37" i="2"/>
  <c r="F38" i="2"/>
  <c r="F39" i="2"/>
  <c r="F4" i="2"/>
  <c r="E50" i="2" l="1"/>
  <c r="H22" i="2"/>
  <c r="E22" i="2" s="1"/>
  <c r="H21" i="2"/>
  <c r="E21" i="2" s="1"/>
  <c r="H20" i="2"/>
  <c r="E20" i="2" s="1"/>
  <c r="H19" i="2"/>
  <c r="E19" i="2" s="1"/>
  <c r="H18" i="2"/>
  <c r="E18" i="2" s="1"/>
  <c r="H17" i="2"/>
  <c r="E17" i="2" s="1"/>
  <c r="H16" i="2"/>
  <c r="E16" i="2" s="1"/>
  <c r="H15" i="2"/>
  <c r="E15" i="2" s="1"/>
  <c r="H14" i="2"/>
  <c r="E14" i="2" s="1"/>
  <c r="H13" i="2"/>
  <c r="E13" i="2" s="1"/>
  <c r="H12" i="2"/>
  <c r="E12" i="2" s="1"/>
  <c r="I11" i="2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H11" i="2"/>
  <c r="E11" i="2" s="1"/>
  <c r="G7" i="2"/>
  <c r="F7" i="2"/>
  <c r="E7" i="2" s="1"/>
  <c r="G6" i="2"/>
  <c r="F6" i="2"/>
  <c r="G5" i="2"/>
  <c r="F5" i="2"/>
  <c r="G4" i="2"/>
  <c r="E4" i="2"/>
  <c r="E5" i="2" l="1"/>
  <c r="H7" i="2"/>
  <c r="H5" i="2"/>
  <c r="E6" i="2"/>
  <c r="H6" i="2"/>
  <c r="H4" i="2"/>
</calcChain>
</file>

<file path=xl/sharedStrings.xml><?xml version="1.0" encoding="utf-8"?>
<sst xmlns="http://schemas.openxmlformats.org/spreadsheetml/2006/main" count="91" uniqueCount="74">
  <si>
    <t>اسم المشروع</t>
  </si>
  <si>
    <t>قيمة الأرض</t>
  </si>
  <si>
    <t>التطوير العقاري</t>
  </si>
  <si>
    <t>المقاولات</t>
  </si>
  <si>
    <t>الإيجارات</t>
  </si>
  <si>
    <t>إيرادات أخري</t>
  </si>
  <si>
    <t>النوع</t>
  </si>
  <si>
    <t>قيمة التطوير</t>
  </si>
  <si>
    <t>إجمالي التكلفة</t>
  </si>
  <si>
    <t>رواز</t>
  </si>
  <si>
    <t>البنك</t>
  </si>
  <si>
    <t>الرصيد</t>
  </si>
  <si>
    <t>مصرف الراجحي</t>
  </si>
  <si>
    <t>البنك الأهلي السعودي</t>
  </si>
  <si>
    <t>الشهر</t>
  </si>
  <si>
    <t>المستحق للتحصيل</t>
  </si>
  <si>
    <t>المحصل الفعلي</t>
  </si>
  <si>
    <t>كفاءة التحصيل %</t>
  </si>
  <si>
    <t>تحصيل الشهر القادم</t>
  </si>
  <si>
    <t>كود الحساب (GL)</t>
  </si>
  <si>
    <t>جهة التمويل</t>
  </si>
  <si>
    <t>أصل التمويل</t>
  </si>
  <si>
    <t>الفائدة %</t>
  </si>
  <si>
    <t>المبلغ المستحق</t>
  </si>
  <si>
    <t>إجمالي المدفوع</t>
  </si>
  <si>
    <t>المتبقي للقرض</t>
  </si>
  <si>
    <t>26200</t>
  </si>
  <si>
    <t>26100</t>
  </si>
  <si>
    <t>26300</t>
  </si>
  <si>
    <t>26400</t>
  </si>
  <si>
    <t>بيان الدفعة</t>
  </si>
  <si>
    <t>تاريخ الاستحقاق</t>
  </si>
  <si>
    <t>الأيام المتبقية</t>
  </si>
  <si>
    <t>المستحق للدفعة</t>
  </si>
  <si>
    <t>المبلغ المدفوع</t>
  </si>
  <si>
    <t>المتبقي للدفعة</t>
  </si>
  <si>
    <t>التراكمي المدفوع</t>
  </si>
  <si>
    <t>2026-05-23</t>
  </si>
  <si>
    <t>2026-07-26</t>
  </si>
  <si>
    <t>2027-04-01</t>
  </si>
  <si>
    <t>2027-04-14</t>
  </si>
  <si>
    <t>2027-05-11</t>
  </si>
  <si>
    <t>2027-06-01</t>
  </si>
  <si>
    <t>2026-08-02</t>
  </si>
  <si>
    <t>2027-02-02</t>
  </si>
  <si>
    <t>2027-08-02</t>
  </si>
  <si>
    <t>2028-02-02</t>
  </si>
  <si>
    <t>2028-08-02</t>
  </si>
  <si>
    <t>2029-02-02</t>
  </si>
  <si>
    <t>نوع الايراد</t>
  </si>
  <si>
    <t>المبلغ</t>
  </si>
  <si>
    <t>دينار (2.6M)</t>
  </si>
  <si>
    <t>دينار (4.4M)</t>
  </si>
  <si>
    <t>دينار (3.5M)</t>
  </si>
  <si>
    <t>أملاك  (2.2M)</t>
  </si>
  <si>
    <t>دينار (2.6M - قسط كامل)</t>
  </si>
  <si>
    <t>دينار (4.4M - قسط كامل)</t>
  </si>
  <si>
    <t>دينار (3.5M - دفعة 1)</t>
  </si>
  <si>
    <t>دينار (3.5M - دفعة 2)</t>
  </si>
  <si>
    <t>دينار (3.5M - دفعة 3)</t>
  </si>
  <si>
    <t>دينار (3.5M - دفعة 4)</t>
  </si>
  <si>
    <t>أملاك (2.2M دفعة 1)</t>
  </si>
  <si>
    <t>أملاك (2.2M دفعة 2)</t>
  </si>
  <si>
    <t>أملاك (2.2M دفعة 3)</t>
  </si>
  <si>
    <t>أملاك (2.2M دفعة 4)</t>
  </si>
  <si>
    <t>أملاك (2.2M دفعة 5)</t>
  </si>
  <si>
    <t>أملاك (2.2M دفعة 6)</t>
  </si>
  <si>
    <t>الشريك</t>
  </si>
  <si>
    <t>باسم الشمري</t>
  </si>
  <si>
    <t>احمد زيدان</t>
  </si>
  <si>
    <t>رواز 1 الرمال</t>
  </si>
  <si>
    <t>رواز 2 العليا</t>
  </si>
  <si>
    <t>رواز 3 العليا</t>
  </si>
  <si>
    <t>رواز 4 العليا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</si>
</sst>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\(#,##0\);&quot;-&quot;"/>
    <numFmt numFmtId="165" formatCode="#,##0.00;\(#,##0.00\);&quot;-&quot;"/>
    <numFmt numFmtId="166" formatCode="dd/mm/yyyy"/>
    <numFmt numFmtId="167" formatCode="0.00_);[Red]\(0.00\)"/>
    <numFmt numFmtId="169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theme="4" tint="-0.249977111117893"/>
        <bgColor rgb="FF2037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medium">
        <color rgb="FF1F4E78"/>
      </bottom>
      <diagonal/>
    </border>
    <border>
      <left style="thin">
        <color rgb="FFD9D9D9"/>
      </left>
      <right/>
      <top/>
      <bottom style="medium">
        <color rgb="FF1F4E78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4" fillId="0" borderId="5" xfId="0" applyNumberFormat="1" applyFont="1" applyBorder="1" applyAlignment="1">
      <alignment horizontal="right" vertical="center"/>
    </xf>
    <xf numFmtId="10" fontId="4" fillId="0" borderId="5" xfId="0" applyNumberFormat="1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7" fontId="4" fillId="0" borderId="5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0" fontId="3" fillId="3" borderId="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right" vertical="center"/>
    </xf>
    <xf numFmtId="0" fontId="3" fillId="4" borderId="11" xfId="0" applyFont="1" applyFill="1" applyBorder="1" applyAlignment="1">
      <alignment horizontal="center" vertical="center" wrapText="1"/>
    </xf>
    <xf numFmtId="166" fontId="0" fillId="0" borderId="12" xfId="0" applyNumberFormat="1" applyBorder="1"/>
    <xf numFmtId="10" fontId="4" fillId="0" borderId="12" xfId="0" applyNumberFormat="1" applyFont="1" applyBorder="1" applyAlignment="1">
      <alignment horizontal="right" vertical="center"/>
    </xf>
    <xf numFmtId="169" fontId="0" fillId="0" borderId="0" xfId="1" applyNumberFormat="1" applyFont="1"/>
    <xf numFmtId="0" fontId="0" fillId="5" borderId="0" xfId="0" applyFill="1" applyAlignment="1">
      <alignment horizontal="center"/>
    </xf>
    <xf numFmtId="164" fontId="4" fillId="0" borderId="1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numFmt numFmtId="166" formatCode="dd/mm/yyyy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medium">
          <color rgb="FF1F4E78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2037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border outline="0">
        <top style="thin">
          <color rgb="FFD9D9D9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medium">
          <color rgb="FF1F4E78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(#,##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medium">
          <color rgb="FF1F4E78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.00;\(#,##0.00\);&quot;-&quot;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0.00_);[Red]\(0.00\)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medium">
          <color rgb="FF1F4E78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D83D5-1931-4B35-8A99-E4A407F4EBFD}" name="القروض" displayName="القروض" ref="B3:H7" totalsRowShown="0" headerRowDxfId="19" dataDxfId="18" headerRowBorderDxfId="16" tableBorderDxfId="17" totalsRowBorderDxfId="15">
  <autoFilter ref="B3:H7" xr:uid="{08CD83D5-1931-4B35-8A99-E4A407F4EBFD}"/>
  <tableColumns count="7">
    <tableColumn id="2" xr3:uid="{5E3D9E1A-9B3C-4A23-83F2-0DB3EC1E60AA}" name="كود الحساب (GL)" dataDxfId="14"/>
    <tableColumn id="3" xr3:uid="{F7436720-8196-408A-B866-316D468EA7BC}" name="جهة التمويل" dataDxfId="13"/>
    <tableColumn id="4" xr3:uid="{F84D90CB-D651-430B-9356-0F342EBEC0BF}" name="أصل التمويل" dataDxfId="12"/>
    <tableColumn id="5" xr3:uid="{48627032-5E4A-4A56-A81D-2C79392F5CE8}" name="الفائدة %" dataDxfId="11">
      <calculatedColumnFormula>IF(D4&gt;0, (F4-D4)/D4, 0)</calculatedColumnFormula>
    </tableColumn>
    <tableColumn id="6" xr3:uid="{A8D25AC8-67C6-4470-BD22-1EAE8530E3BB}" name="المبلغ المستحق" dataDxfId="10">
      <calculatedColumnFormula>SUMIF($B$11:$B$22, B4, $F$11:$F$22)</calculatedColumnFormula>
    </tableColumn>
    <tableColumn id="7" xr3:uid="{3DF05E27-6A99-43C9-B538-D1D6C8982C87}" name="إجمالي المدفوع" dataDxfId="9">
      <calculatedColumnFormula>SUMIF($B$11:$B$22, B4, $G$11:$G$22)</calculatedColumnFormula>
    </tableColumn>
    <tableColumn id="8" xr3:uid="{4EA4398A-E6E8-447C-B4E3-DEAA1A0E6734}" name="المتبقي للقرض" dataDxfId="8">
      <calculatedColumnFormula>F4-G4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AF0B2-D36A-4622-800D-72805C479F28}" name="الاقساط" displayName="الاقساط" ref="B10:I22" totalsRowShown="0" headerRowDxfId="41" dataDxfId="42" headerRowBorderDxfId="52" tableBorderDxfId="53" totalsRowBorderDxfId="51">
  <autoFilter ref="B10:I22" xr:uid="{25AAF0B2-D36A-4622-800D-72805C479F28}"/>
  <tableColumns count="8">
    <tableColumn id="2" xr3:uid="{7BB86E06-1A48-467C-839F-816330EF31B1}" name="كود الحساب (GL)" dataDxfId="50"/>
    <tableColumn id="3" xr3:uid="{E61F7A2D-BDC4-44F2-9335-E08D00CEB732}" name="بيان الدفعة" dataDxfId="49"/>
    <tableColumn id="4" xr3:uid="{56A6BA54-5C3E-4F92-A23D-18D91501502E}" name="تاريخ الاستحقاق" dataDxfId="48"/>
    <tableColumn id="5" xr3:uid="{87BB5917-20F9-4D3C-9041-43B648390544}" name="الأيام المتبقية" dataDxfId="47">
      <calculatedColumnFormula>IF(H11&gt;0,D11-TODAY(),"")</calculatedColumnFormula>
    </tableColumn>
    <tableColumn id="6" xr3:uid="{4BF6EAC8-5A7A-47D3-B2A5-5F582211D62A}" name="المستحق للدفعة" dataDxfId="46"/>
    <tableColumn id="7" xr3:uid="{CC67325F-FE21-49C6-9292-73A1138CD826}" name="المبلغ المدفوع" dataDxfId="45"/>
    <tableColumn id="8" xr3:uid="{6D77BBC6-6E9B-42E6-9FF1-962456ABA0CB}" name="المتبقي للدفعة" dataDxfId="44">
      <calculatedColumnFormula>F11-G11</calculatedColumnFormula>
    </tableColumn>
    <tableColumn id="9" xr3:uid="{E4074BF7-E861-42DB-BA5A-CAC946F0F451}" name="التراكمي المدفوع" dataDxfId="43">
      <calculatedColumnFormula>I10+G11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807BD5-3D87-41B5-AE11-59954A1C6826}" name="الايردات" displayName="الايردات" ref="B28:C32" totalsRowShown="0" headerRowDxfId="35" headerRowBorderDxfId="39" tableBorderDxfId="40" totalsRowBorderDxfId="38">
  <autoFilter ref="B28:C32" xr:uid="{84807BD5-3D87-41B5-AE11-59954A1C6826}"/>
  <tableColumns count="2">
    <tableColumn id="2" xr3:uid="{87AD5B20-FF69-4AD5-B4B6-23C3CAC7F211}" name="نوع الايراد" dataDxfId="37"/>
    <tableColumn id="3" xr3:uid="{0ADCFFAE-62DD-4A08-9DF2-B64FEA5527E7}" name="المبلغ" dataDxfId="3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2D120E-3DD5-4187-A81E-67C0C0ABB71C}" name="Units_Under_Construction" displayName="Units_Under_Construction" ref="B35:F39" totalsRowShown="0" headerRowDxfId="27" headerRowBorderDxfId="33" tableBorderDxfId="34" totalsRowBorderDxfId="32">
  <autoFilter ref="B35:F39" xr:uid="{D62D120E-3DD5-4187-A81E-67C0C0ABB71C}"/>
  <tableColumns count="5">
    <tableColumn id="2" xr3:uid="{37E43D9A-02AD-42E3-A43D-2358F2E18C8D}" name="اسم المشروع" dataDxfId="31"/>
    <tableColumn id="3" xr3:uid="{80318650-E498-42B7-98C4-E5D2FFCBF0D1}" name="النوع" dataDxfId="30"/>
    <tableColumn id="4" xr3:uid="{80AA303F-C631-41B6-BA7B-33FB06AB9942}" name="قيمة الأرض" dataDxfId="29"/>
    <tableColumn id="5" xr3:uid="{8668B584-08A1-44F1-BA20-8DE2619AD7E6}" name="قيمة التطوير" dataDxfId="28"/>
    <tableColumn id="6" xr3:uid="{7BB8F3DA-2FCB-4C6E-979A-002269AD8AD1}" name="إجمالي التكلفة" dataDxfId="7">
      <calculatedColumnFormula>SUM(Units_Under_Construction[[#This Row],[قيمة الأرض]:[قيمة التطوير]])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2630AF-E8DA-4685-A56F-4C2FCBF08954}" name="البنوك" displayName="البنوك" ref="B43:C45" totalsRowShown="0" headerRowDxfId="23" tableBorderDxfId="26">
  <autoFilter ref="B43:C45" xr:uid="{BB2630AF-E8DA-4685-A56F-4C2FCBF08954}"/>
  <tableColumns count="2">
    <tableColumn id="1" xr3:uid="{AAA88640-6019-4F48-A9C2-AC06E77B0248}" name="البنك" dataDxfId="25"/>
    <tableColumn id="2" xr3:uid="{522AD8EB-0CDA-40D1-8C62-09844870006E}" name="الرصيد" dataDxfId="2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7962E8-D4E2-49BC-B4CA-5F7601A52109}" name="تحصيلات_الايجار" displayName="تحصيلات_الايجار" ref="B49:F50" totalsRowShown="0" headerRowDxfId="20" dataDxfId="21" tableBorderDxfId="22">
  <autoFilter ref="B49:F50" xr:uid="{047962E8-D4E2-49BC-B4CA-5F7601A52109}"/>
  <tableColumns count="5">
    <tableColumn id="1" xr3:uid="{FBE8A87F-F4FF-430D-BB6E-9842BDA03389}" name="الشهر" dataDxfId="4"/>
    <tableColumn id="2" xr3:uid="{80069C6C-993B-46EA-8CEE-B6E352F9CB27}" name="المستحق للتحصيل" dataDxfId="3"/>
    <tableColumn id="3" xr3:uid="{F7BC38F8-3F20-44EC-B882-B42317D364D5}" name="المحصل الفعلي" dataDxfId="2"/>
    <tableColumn id="4" xr3:uid="{CD71EAF6-9941-4277-BF01-4C630D923114}" name="كفاءة التحصيل %" dataDxfId="1">
      <calculatedColumnFormula>IF(C50&gt;0, D50/C50, 0)</calculatedColumnFormula>
    </tableColumn>
    <tableColumn id="5" xr3:uid="{C1C03E1E-D9BC-4EF4-A34C-34F220E83E73}" name="تحصيل الشهر القادم" dataDxfId="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26F323-7AC1-414B-B43D-F043C051FE5B}" name="حساب_الشركاء" displayName="حساب_الشركاء" ref="E28:F30" totalsRowShown="0" headerRowDxfId="5">
  <autoFilter ref="E28:F30" xr:uid="{D126F323-7AC1-414B-B43D-F043C051FE5B}"/>
  <tableColumns count="2">
    <tableColumn id="1" xr3:uid="{BA8AFAF7-6F35-4757-952D-E998AD20B322}" name="الشريك"/>
    <tableColumn id="2" xr3:uid="{7E82D2A6-AF8C-406E-A64D-8D5E51612725}" name="الرصيد" dataDxfId="6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6161-56C5-4337-93A2-261B2C24E42D}">
  <dimension ref="B2:K50"/>
  <sheetViews>
    <sheetView showGridLines="0" tabSelected="1" workbookViewId="0">
      <selection activeCell="I23" sqref="I23"/>
    </sheetView>
  </sheetViews>
  <sheetFormatPr defaultRowHeight="14.4" x14ac:dyDescent="0.3"/>
  <cols>
    <col min="2" max="2" width="35.88671875" bestFit="1" customWidth="1"/>
    <col min="3" max="3" width="21.21875" customWidth="1"/>
    <col min="4" max="4" width="26.88671875" bestFit="1" customWidth="1"/>
    <col min="5" max="5" width="14.33203125" customWidth="1"/>
    <col min="6" max="6" width="16" customWidth="1"/>
    <col min="7" max="9" width="13.88671875" customWidth="1"/>
    <col min="10" max="10" width="20.44140625" customWidth="1"/>
    <col min="11" max="11" width="18.6640625" bestFit="1" customWidth="1"/>
  </cols>
  <sheetData>
    <row r="2" spans="2:11" ht="15.6" x14ac:dyDescent="0.3">
      <c r="B2" s="1"/>
      <c r="C2" s="6"/>
      <c r="D2" s="6"/>
      <c r="E2" s="6"/>
      <c r="F2" s="6"/>
      <c r="G2" s="6"/>
      <c r="H2" s="6"/>
      <c r="I2" s="6"/>
      <c r="J2" s="6"/>
      <c r="K2" s="6"/>
    </row>
    <row r="3" spans="2:11" ht="17.399999999999999" customHeight="1" thickBot="1" x14ac:dyDescent="0.35">
      <c r="B3" s="19" t="s">
        <v>19</v>
      </c>
      <c r="C3" s="19" t="s">
        <v>20</v>
      </c>
      <c r="D3" s="19" t="s">
        <v>21</v>
      </c>
      <c r="E3" s="19" t="s">
        <v>22</v>
      </c>
      <c r="F3" s="19" t="s">
        <v>23</v>
      </c>
      <c r="G3" s="19" t="s">
        <v>24</v>
      </c>
      <c r="H3" s="19" t="s">
        <v>25</v>
      </c>
    </row>
    <row r="4" spans="2:11" x14ac:dyDescent="0.3">
      <c r="B4" s="2" t="s">
        <v>26</v>
      </c>
      <c r="C4" s="3" t="s">
        <v>51</v>
      </c>
      <c r="D4" s="10">
        <v>2600000</v>
      </c>
      <c r="E4" s="11">
        <f>IF(D4&gt;0, (F4-D4)/D4, 0)</f>
        <v>0.14560000000000001</v>
      </c>
      <c r="F4" s="10">
        <f>SUMIF($B$11:$B$22, B4, $F$11:$F$22)</f>
        <v>2978560</v>
      </c>
      <c r="G4" s="10">
        <f>SUMIF($B$11:$B$22, B4, $G$11:$G$22)</f>
        <v>2978560</v>
      </c>
      <c r="H4" s="10">
        <f>F4-G4</f>
        <v>0</v>
      </c>
    </row>
    <row r="5" spans="2:11" x14ac:dyDescent="0.3">
      <c r="B5" s="2" t="s">
        <v>27</v>
      </c>
      <c r="C5" s="3" t="s">
        <v>52</v>
      </c>
      <c r="D5" s="10">
        <v>4400000</v>
      </c>
      <c r="E5" s="11">
        <f>IF(D5&gt;0, (F5-D5)/D5, 0)</f>
        <v>0.18293000000000001</v>
      </c>
      <c r="F5" s="10">
        <f>SUMIF($B$11:$B$22, B5, $F$11:$F$22)</f>
        <v>5204892</v>
      </c>
      <c r="G5" s="10">
        <f>SUMIF($B$11:$B$22, B5, $G$11:$G$22)</f>
        <v>740440</v>
      </c>
      <c r="H5" s="10">
        <f>F5-G5</f>
        <v>4464452</v>
      </c>
    </row>
    <row r="6" spans="2:11" x14ac:dyDescent="0.3">
      <c r="B6" s="2" t="s">
        <v>28</v>
      </c>
      <c r="C6" s="3" t="s">
        <v>53</v>
      </c>
      <c r="D6" s="10">
        <v>3500000</v>
      </c>
      <c r="E6" s="11">
        <f>IF(D6&gt;0, (F6-D6)/D6, 0)</f>
        <v>0.21060000000000001</v>
      </c>
      <c r="F6" s="10">
        <f>SUMIF($B$11:$B$22, B6, $F$11:$F$22)</f>
        <v>4237100</v>
      </c>
      <c r="G6" s="10">
        <f>SUMIF($B$11:$B$22, B6, $G$11:$G$22)</f>
        <v>0</v>
      </c>
      <c r="H6" s="10">
        <f>F6-G6</f>
        <v>4237100</v>
      </c>
    </row>
    <row r="7" spans="2:11" x14ac:dyDescent="0.3">
      <c r="B7" s="15" t="s">
        <v>29</v>
      </c>
      <c r="C7" s="16" t="s">
        <v>54</v>
      </c>
      <c r="D7" s="17">
        <v>2200000</v>
      </c>
      <c r="E7" s="18">
        <f>IF(D7&gt;0, (F7-D7)/D7, 0)</f>
        <v>0.315</v>
      </c>
      <c r="F7" s="17">
        <f>SUMIF($B$11:$B$22, B7, $F$11:$F$22)</f>
        <v>2893000</v>
      </c>
      <c r="G7" s="17">
        <f>SUMIF($B$11:$B$22, B7, $G$11:$G$22)</f>
        <v>115500</v>
      </c>
      <c r="H7" s="17">
        <f>F7-G7</f>
        <v>2777500</v>
      </c>
    </row>
    <row r="8" spans="2:11" x14ac:dyDescent="0.3">
      <c r="K8" s="12"/>
    </row>
    <row r="9" spans="2:11" ht="15.6" x14ac:dyDescent="0.3"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2:11" ht="17.399999999999999" customHeight="1" thickBot="1" x14ac:dyDescent="0.35">
      <c r="B10" s="19" t="s">
        <v>19</v>
      </c>
      <c r="C10" s="19" t="s">
        <v>30</v>
      </c>
      <c r="D10" s="19" t="s">
        <v>31</v>
      </c>
      <c r="E10" s="19" t="s">
        <v>32</v>
      </c>
      <c r="F10" s="19" t="s">
        <v>33</v>
      </c>
      <c r="G10" s="19" t="s">
        <v>34</v>
      </c>
      <c r="H10" s="19" t="s">
        <v>35</v>
      </c>
      <c r="I10" s="19" t="s">
        <v>36</v>
      </c>
    </row>
    <row r="11" spans="2:11" x14ac:dyDescent="0.3">
      <c r="B11" s="2" t="s">
        <v>26</v>
      </c>
      <c r="C11" s="3" t="s">
        <v>55</v>
      </c>
      <c r="D11" s="2" t="s">
        <v>37</v>
      </c>
      <c r="E11" s="14" t="str">
        <f ca="1">IF(H11&gt;0,D11-TODAY(),"")</f>
        <v/>
      </c>
      <c r="F11" s="10">
        <v>2978560</v>
      </c>
      <c r="G11" s="10">
        <v>2978560</v>
      </c>
      <c r="H11" s="10">
        <f>F11-G11</f>
        <v>0</v>
      </c>
      <c r="I11" s="10">
        <f>G11</f>
        <v>2978560</v>
      </c>
    </row>
    <row r="12" spans="2:11" x14ac:dyDescent="0.3">
      <c r="B12" s="2" t="s">
        <v>27</v>
      </c>
      <c r="C12" s="3" t="s">
        <v>56</v>
      </c>
      <c r="D12" s="2" t="s">
        <v>38</v>
      </c>
      <c r="E12" s="14">
        <f ca="1">IF(H12&gt;0,D12-TODAY(),"")</f>
        <v>-23</v>
      </c>
      <c r="F12" s="10">
        <v>5204892</v>
      </c>
      <c r="G12" s="10">
        <v>740440</v>
      </c>
      <c r="H12" s="10">
        <f>F12-G12</f>
        <v>4464452</v>
      </c>
      <c r="I12" s="10">
        <f>I11+G12</f>
        <v>3719000</v>
      </c>
    </row>
    <row r="13" spans="2:11" x14ac:dyDescent="0.3">
      <c r="B13" s="2" t="s">
        <v>28</v>
      </c>
      <c r="C13" s="3" t="s">
        <v>57</v>
      </c>
      <c r="D13" s="2" t="s">
        <v>39</v>
      </c>
      <c r="E13" s="14">
        <f ca="1">IF(H13&gt;0,D13-TODAY(),"")</f>
        <v>226</v>
      </c>
      <c r="F13" s="10">
        <v>1210600</v>
      </c>
      <c r="G13" s="10">
        <v>0</v>
      </c>
      <c r="H13" s="10">
        <f>F13-G13</f>
        <v>1210600</v>
      </c>
      <c r="I13" s="10">
        <f>I12+G13</f>
        <v>3719000</v>
      </c>
    </row>
    <row r="14" spans="2:11" x14ac:dyDescent="0.3">
      <c r="B14" s="2" t="s">
        <v>28</v>
      </c>
      <c r="C14" s="3" t="s">
        <v>58</v>
      </c>
      <c r="D14" s="2" t="s">
        <v>40</v>
      </c>
      <c r="E14" s="14">
        <f ca="1">IF(H14&gt;0,D14-TODAY(),"")</f>
        <v>239</v>
      </c>
      <c r="F14" s="10">
        <v>1210600</v>
      </c>
      <c r="G14" s="10">
        <v>0</v>
      </c>
      <c r="H14" s="10">
        <f>F14-G14</f>
        <v>1210600</v>
      </c>
      <c r="I14" s="10">
        <f>I13+G14</f>
        <v>3719000</v>
      </c>
    </row>
    <row r="15" spans="2:11" x14ac:dyDescent="0.3">
      <c r="B15" s="2" t="s">
        <v>28</v>
      </c>
      <c r="C15" s="3" t="s">
        <v>59</v>
      </c>
      <c r="D15" s="2" t="s">
        <v>41</v>
      </c>
      <c r="E15" s="14">
        <f ca="1">IF(H15&gt;0,D15-TODAY(),"")</f>
        <v>266</v>
      </c>
      <c r="F15" s="10">
        <v>1210600</v>
      </c>
      <c r="G15" s="10">
        <v>0</v>
      </c>
      <c r="H15" s="10">
        <f>F15-G15</f>
        <v>1210600</v>
      </c>
      <c r="I15" s="10">
        <f>I14+G15</f>
        <v>3719000</v>
      </c>
    </row>
    <row r="16" spans="2:11" x14ac:dyDescent="0.3">
      <c r="B16" s="2" t="s">
        <v>28</v>
      </c>
      <c r="C16" s="3" t="s">
        <v>60</v>
      </c>
      <c r="D16" s="2" t="s">
        <v>42</v>
      </c>
      <c r="E16" s="14">
        <f ca="1">IF(H16&gt;0,D16-TODAY(),"")</f>
        <v>287</v>
      </c>
      <c r="F16" s="10">
        <v>605300</v>
      </c>
      <c r="G16" s="10">
        <v>0</v>
      </c>
      <c r="H16" s="10">
        <f>F16-G16</f>
        <v>605300</v>
      </c>
      <c r="I16" s="10">
        <f>I15+G16</f>
        <v>3719000</v>
      </c>
    </row>
    <row r="17" spans="2:9" x14ac:dyDescent="0.3">
      <c r="B17" s="2" t="s">
        <v>29</v>
      </c>
      <c r="C17" s="3" t="s">
        <v>61</v>
      </c>
      <c r="D17" s="2" t="s">
        <v>43</v>
      </c>
      <c r="E17" s="14" t="str">
        <f ca="1">IF(H17&gt;0,D17-TODAY(),"")</f>
        <v/>
      </c>
      <c r="F17" s="10">
        <v>115500</v>
      </c>
      <c r="G17" s="10">
        <v>115500</v>
      </c>
      <c r="H17" s="10">
        <f>F17-G17</f>
        <v>0</v>
      </c>
      <c r="I17" s="10">
        <f>I16+G17</f>
        <v>3834500</v>
      </c>
    </row>
    <row r="18" spans="2:9" x14ac:dyDescent="0.3">
      <c r="B18" s="2" t="s">
        <v>29</v>
      </c>
      <c r="C18" s="3" t="s">
        <v>62</v>
      </c>
      <c r="D18" s="2" t="s">
        <v>44</v>
      </c>
      <c r="E18" s="14">
        <f ca="1">IF(H18&gt;0,D18-TODAY(),"")</f>
        <v>168</v>
      </c>
      <c r="F18" s="10">
        <v>115500</v>
      </c>
      <c r="G18" s="10">
        <v>0</v>
      </c>
      <c r="H18" s="10">
        <f>F18-G18</f>
        <v>115500</v>
      </c>
      <c r="I18" s="10">
        <f>I17+G18</f>
        <v>3834500</v>
      </c>
    </row>
    <row r="19" spans="2:9" x14ac:dyDescent="0.3">
      <c r="B19" s="2" t="s">
        <v>29</v>
      </c>
      <c r="C19" s="3" t="s">
        <v>63</v>
      </c>
      <c r="D19" s="2" t="s">
        <v>45</v>
      </c>
      <c r="E19" s="14">
        <f ca="1">IF(H19&gt;0,D19-TODAY(),"")</f>
        <v>349</v>
      </c>
      <c r="F19" s="10">
        <v>115500</v>
      </c>
      <c r="G19" s="10">
        <v>0</v>
      </c>
      <c r="H19" s="10">
        <f>F19-G19</f>
        <v>115500</v>
      </c>
      <c r="I19" s="10">
        <f>I18+G19</f>
        <v>3834500</v>
      </c>
    </row>
    <row r="20" spans="2:9" x14ac:dyDescent="0.3">
      <c r="B20" s="2" t="s">
        <v>29</v>
      </c>
      <c r="C20" s="3" t="s">
        <v>64</v>
      </c>
      <c r="D20" s="2" t="s">
        <v>46</v>
      </c>
      <c r="E20" s="14">
        <f ca="1">IF(H20&gt;0,D20-TODAY(),"")</f>
        <v>533</v>
      </c>
      <c r="F20" s="10">
        <v>115500</v>
      </c>
      <c r="G20" s="10">
        <v>0</v>
      </c>
      <c r="H20" s="10">
        <f>F20-G20</f>
        <v>115500</v>
      </c>
      <c r="I20" s="10">
        <f>I19+G20</f>
        <v>3834500</v>
      </c>
    </row>
    <row r="21" spans="2:9" x14ac:dyDescent="0.3">
      <c r="B21" s="2" t="s">
        <v>29</v>
      </c>
      <c r="C21" s="3" t="s">
        <v>65</v>
      </c>
      <c r="D21" s="2" t="s">
        <v>47</v>
      </c>
      <c r="E21" s="14">
        <f ca="1">IF(H21&gt;0,D21-TODAY(),"")</f>
        <v>715</v>
      </c>
      <c r="F21" s="10">
        <v>115500</v>
      </c>
      <c r="G21" s="10">
        <v>0</v>
      </c>
      <c r="H21" s="10">
        <f>F21-G21</f>
        <v>115500</v>
      </c>
      <c r="I21" s="10">
        <f>I20+G21</f>
        <v>3834500</v>
      </c>
    </row>
    <row r="22" spans="2:9" x14ac:dyDescent="0.3">
      <c r="B22" s="15" t="s">
        <v>29</v>
      </c>
      <c r="C22" s="3" t="s">
        <v>66</v>
      </c>
      <c r="D22" s="15" t="s">
        <v>48</v>
      </c>
      <c r="E22" s="21">
        <f ca="1">IF(H22&gt;0,D22-TODAY(),"")</f>
        <v>899</v>
      </c>
      <c r="F22" s="17">
        <v>2315500</v>
      </c>
      <c r="G22" s="17">
        <v>0</v>
      </c>
      <c r="H22" s="17">
        <f>F22-G22</f>
        <v>2315500</v>
      </c>
      <c r="I22" s="17">
        <f>I21+G22</f>
        <v>3834500</v>
      </c>
    </row>
    <row r="27" spans="2:9" ht="15.6" x14ac:dyDescent="0.3">
      <c r="B27" s="1"/>
    </row>
    <row r="28" spans="2:9" ht="15" thickBot="1" x14ac:dyDescent="0.35">
      <c r="B28" s="19" t="s">
        <v>49</v>
      </c>
      <c r="C28" s="20" t="s">
        <v>50</v>
      </c>
      <c r="E28" s="33" t="s">
        <v>67</v>
      </c>
      <c r="F28" s="33" t="s">
        <v>11</v>
      </c>
    </row>
    <row r="29" spans="2:9" x14ac:dyDescent="0.3">
      <c r="B29" s="3" t="s">
        <v>2</v>
      </c>
      <c r="C29" s="22">
        <v>1810000</v>
      </c>
      <c r="E29" t="s">
        <v>68</v>
      </c>
      <c r="F29" s="32">
        <v>-56863.839150000247</v>
      </c>
    </row>
    <row r="30" spans="2:9" x14ac:dyDescent="0.3">
      <c r="B30" s="3" t="s">
        <v>3</v>
      </c>
      <c r="C30" s="22">
        <v>1260000</v>
      </c>
      <c r="E30" t="s">
        <v>69</v>
      </c>
      <c r="F30" s="32">
        <v>400000</v>
      </c>
    </row>
    <row r="31" spans="2:9" x14ac:dyDescent="0.3">
      <c r="B31" s="3" t="s">
        <v>4</v>
      </c>
      <c r="C31" s="22">
        <v>4848824</v>
      </c>
    </row>
    <row r="32" spans="2:9" x14ac:dyDescent="0.3">
      <c r="B32" s="16" t="s">
        <v>5</v>
      </c>
      <c r="C32" s="23">
        <v>2000</v>
      </c>
    </row>
    <row r="34" spans="2:7" ht="15.6" x14ac:dyDescent="0.3">
      <c r="B34" s="5"/>
      <c r="C34" s="5"/>
      <c r="D34" s="5"/>
      <c r="E34" s="5"/>
      <c r="F34" s="5"/>
      <c r="G34" s="6"/>
    </row>
    <row r="35" spans="2:7" ht="15" thickBot="1" x14ac:dyDescent="0.35">
      <c r="B35" s="19" t="s">
        <v>0</v>
      </c>
      <c r="C35" s="19" t="s">
        <v>6</v>
      </c>
      <c r="D35" s="19" t="s">
        <v>1</v>
      </c>
      <c r="E35" s="19" t="s">
        <v>7</v>
      </c>
      <c r="F35" s="20" t="s">
        <v>8</v>
      </c>
    </row>
    <row r="36" spans="2:7" x14ac:dyDescent="0.3">
      <c r="B36" s="3" t="s">
        <v>70</v>
      </c>
      <c r="C36" s="3" t="s">
        <v>9</v>
      </c>
      <c r="D36" s="4">
        <v>2247500</v>
      </c>
      <c r="E36" s="4">
        <v>1613573.620000001</v>
      </c>
      <c r="F36" s="22">
        <f>SUM(Units_Under_Construction[[#This Row],[قيمة الأرض]:[قيمة التطوير]])</f>
        <v>3861073.620000001</v>
      </c>
    </row>
    <row r="37" spans="2:7" x14ac:dyDescent="0.3">
      <c r="B37" s="3" t="s">
        <v>71</v>
      </c>
      <c r="C37" s="3" t="s">
        <v>9</v>
      </c>
      <c r="D37" s="4">
        <v>4700000</v>
      </c>
      <c r="E37" s="4">
        <v>2447405.6700000064</v>
      </c>
      <c r="F37" s="22">
        <f>SUM(Units_Under_Construction[[#This Row],[قيمة الأرض]:[قيمة التطوير]])</f>
        <v>7147405.6700000064</v>
      </c>
    </row>
    <row r="38" spans="2:7" x14ac:dyDescent="0.3">
      <c r="B38" s="3" t="s">
        <v>72</v>
      </c>
      <c r="C38" s="3" t="s">
        <v>9</v>
      </c>
      <c r="D38" s="4">
        <v>4000000</v>
      </c>
      <c r="E38" s="4">
        <v>1841514.4599999962</v>
      </c>
      <c r="F38" s="22">
        <f>SUM(Units_Under_Construction[[#This Row],[قيمة الأرض]:[قيمة التطوير]])</f>
        <v>5841514.4599999962</v>
      </c>
    </row>
    <row r="39" spans="2:7" x14ac:dyDescent="0.3">
      <c r="B39" s="16" t="s">
        <v>73</v>
      </c>
      <c r="C39" s="3" t="s">
        <v>9</v>
      </c>
      <c r="D39" s="24">
        <v>4427280</v>
      </c>
      <c r="E39" s="24">
        <v>683670.41999999993</v>
      </c>
      <c r="F39" s="23">
        <f>SUM(Units_Under_Construction[[#This Row],[قيمة الأرض]:[قيمة التطوير]])</f>
        <v>5110950.42</v>
      </c>
    </row>
    <row r="40" spans="2:7" x14ac:dyDescent="0.3">
      <c r="B40" s="35"/>
      <c r="C40" s="35"/>
      <c r="D40" s="36"/>
      <c r="E40" s="36"/>
      <c r="F40" s="36"/>
    </row>
    <row r="42" spans="2:7" ht="15.6" x14ac:dyDescent="0.3">
      <c r="B42" s="7"/>
      <c r="C42" s="7"/>
    </row>
    <row r="43" spans="2:7" x14ac:dyDescent="0.3">
      <c r="B43" s="25" t="s">
        <v>10</v>
      </c>
      <c r="C43" s="8" t="s">
        <v>11</v>
      </c>
    </row>
    <row r="44" spans="2:7" x14ac:dyDescent="0.3">
      <c r="B44" s="26" t="s">
        <v>12</v>
      </c>
      <c r="C44" s="9">
        <v>200000</v>
      </c>
    </row>
    <row r="45" spans="2:7" x14ac:dyDescent="0.3">
      <c r="B45" s="27" t="s">
        <v>13</v>
      </c>
      <c r="C45" s="28">
        <v>20000</v>
      </c>
    </row>
    <row r="48" spans="2:7" ht="15.6" x14ac:dyDescent="0.3">
      <c r="B48" s="7"/>
    </row>
    <row r="49" spans="2:6" x14ac:dyDescent="0.3">
      <c r="B49" s="29" t="s">
        <v>14</v>
      </c>
      <c r="C49" s="29" t="s">
        <v>15</v>
      </c>
      <c r="D49" s="29" t="s">
        <v>16</v>
      </c>
      <c r="E49" s="29" t="s">
        <v>17</v>
      </c>
      <c r="F49" s="29" t="s">
        <v>18</v>
      </c>
    </row>
    <row r="50" spans="2:6" x14ac:dyDescent="0.3">
      <c r="B50" s="30">
        <v>46239</v>
      </c>
      <c r="C50" s="34">
        <v>186156</v>
      </c>
      <c r="D50" s="34">
        <v>13750</v>
      </c>
      <c r="E50" s="31">
        <f>IF(C50&gt;0, D50/C50, 0)</f>
        <v>7.3862781752938395E-2</v>
      </c>
      <c r="F50" s="34">
        <v>300115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Loans_&amp;_Installments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2026-08-16T21:15:27Z</dcterms:created>
  <dcterms:modified xsi:type="dcterms:W3CDTF">2026-08-18T17:10:07Z</dcterms:modified>
</cp:coreProperties>
</file>